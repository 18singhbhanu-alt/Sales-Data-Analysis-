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pivotTables/pivotTable10.xml" ContentType="application/vnd.openxmlformats-officedocument.spreadsheetml.pivotTable+xml"/>
  <Override PartName="/xl/drawings/drawing9.xml" ContentType="application/vnd.openxmlformats-officedocument.drawing+xml"/>
  <Override PartName="/xl/slicers/slicer8.xml" ContentType="application/vnd.ms-excel.slicer+xml"/>
  <Override PartName="/xl/pivotTables/pivotTable11.xml" ContentType="application/vnd.openxmlformats-officedocument.spreadsheetml.pivotTable+xml"/>
  <Override PartName="/xl/drawings/drawing10.xml" ContentType="application/vnd.openxmlformats-officedocument.drawing+xml"/>
  <Override PartName="/xl/slicers/slicer9.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bhanu pratap\Desktop\"/>
    </mc:Choice>
  </mc:AlternateContent>
  <xr:revisionPtr revIDLastSave="0" documentId="8_{7F7C15FF-DCE5-42DE-A5CF-6EE3B4C90582}" xr6:coauthVersionLast="47" xr6:coauthVersionMax="47" xr10:uidLastSave="{00000000-0000-0000-0000-000000000000}"/>
  <bookViews>
    <workbookView xWindow="-108" yWindow="-108" windowWidth="23256" windowHeight="12456" firstSheet="4" activeTab="4" xr2:uid="{47501A08-0ECF-4769-B58D-DCB4B44C18BC}"/>
  </bookViews>
  <sheets>
    <sheet name="working 1" sheetId="14" state="hidden" r:id="rId1"/>
    <sheet name="working 2" sheetId="15" state="hidden" r:id="rId2"/>
    <sheet name="working 3" sheetId="17" state="hidden" r:id="rId3"/>
    <sheet name="working 4" sheetId="18" state="hidden" r:id="rId4"/>
    <sheet name="data of sales" sheetId="1" r:id="rId5"/>
    <sheet name="dashboard" sheetId="12" r:id="rId6"/>
    <sheet name="Sales trend graph" sheetId="2" r:id="rId7"/>
    <sheet name="tpo 5 Bar chart" sheetId="3" r:id="rId8"/>
    <sheet name="column chart" sheetId="5" r:id="rId9"/>
    <sheet name="clustered bar chart" sheetId="4" r:id="rId10"/>
    <sheet name="pie chart" sheetId="6" r:id="rId11"/>
    <sheet name="Sheet1" sheetId="19" r:id="rId12"/>
    <sheet name="Consumer" sheetId="7" r:id="rId13"/>
    <sheet name="Corporate" sheetId="10" r:id="rId14"/>
    <sheet name="Home office" sheetId="11" r:id="rId15"/>
  </sheets>
  <definedNames>
    <definedName name="_xlnm._FilterDatabase" localSheetId="4" hidden="1">'data of sales'!$R$1:$R$100</definedName>
    <definedName name="Slicer_Category">#N/A</definedName>
    <definedName name="Slicer_Region">#N/A</definedName>
    <definedName name="Slicer_Region1">#N/A</definedName>
    <definedName name="Slicer_Region2">#N/A</definedName>
    <definedName name="Slicer_Region3">#N/A</definedName>
    <definedName name="Slicer_Region4">#N/A</definedName>
    <definedName name="Slicer_Segment">#N/A</definedName>
    <definedName name="Slicer_Segment1">#N/A</definedName>
    <definedName name="Slicer_Ship_Mode">#N/A</definedName>
    <definedName name="Slicer_Years">#N/A</definedName>
  </definedNames>
  <calcPr calcId="191029"/>
  <pivotCaches>
    <pivotCache cacheId="0"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5" i="1" l="1"/>
  <c r="X4" i="1"/>
  <c r="X3" i="1"/>
  <c r="X2" i="1"/>
  <c r="X1" i="1"/>
</calcChain>
</file>

<file path=xl/sharedStrings.xml><?xml version="1.0" encoding="utf-8"?>
<sst xmlns="http://schemas.openxmlformats.org/spreadsheetml/2006/main" count="1691" uniqueCount="472">
  <si>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</si>
  <si>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</si>
  <si>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</si>
  <si>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</si>
  <si>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</si>
  <si>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</si>
  <si>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</si>
  <si>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</si>
  <si>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</si>
  <si>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</si>
  <si>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</si>
  <si>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</si>
  <si>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</si>
  <si>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</si>
  <si>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</si>
  <si>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</si>
  <si>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</si>
  <si>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</si>
  <si>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</si>
  <si>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</si>
  <si>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</si>
  <si>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</si>
  <si>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</si>
  <si>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</si>
  <si>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</si>
  <si>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</si>
  <si>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</si>
  <si>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</si>
  <si>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</si>
  <si>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</si>
  <si>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</si>
  <si>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</si>
  <si>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</si>
  <si>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</si>
  <si>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</si>
  <si>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</si>
  <si>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</si>
  <si>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</si>
  <si>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</si>
  <si>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</si>
  <si>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</si>
  <si>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</si>
  <si>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</si>
  <si>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</si>
  <si>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</si>
  <si>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</si>
  <si>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</si>
  <si>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</si>
  <si>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</si>
  <si>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</si>
  <si>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</si>
  <si>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</si>
  <si>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</si>
  <si>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</si>
  <si>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</si>
  <si>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</si>
  <si>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</si>
  <si>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</si>
  <si>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</si>
  <si>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</si>
  <si>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</si>
  <si>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</si>
  <si>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</si>
  <si>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</si>
  <si>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</si>
  <si>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</si>
  <si>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</si>
  <si>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</si>
  <si>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</si>
  <si>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</si>
  <si>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</si>
  <si>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</si>
  <si>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</si>
  <si>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</si>
  <si>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</si>
  <si>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</si>
  <si>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</si>
  <si>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</si>
  <si>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</si>
  <si>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</si>
  <si>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</si>
  <si>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</si>
  <si>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</si>
  <si>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</si>
  <si>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</si>
  <si>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</si>
  <si>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</si>
  <si>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</si>
  <si>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</si>
  <si>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</si>
  <si>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</si>
  <si>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</si>
  <si>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</si>
  <si>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</si>
  <si>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</si>
  <si>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</si>
  <si>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</si>
  <si>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</si>
  <si>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</si>
  <si>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</si>
  <si>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</si>
  <si>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</si>
  <si>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</si>
  <si>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</si>
  <si>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</si>
  <si>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</si>
  <si>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</si>
  <si>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</si>
  <si>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</si>
  <si>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</si>
  <si>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</si>
  <si>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</si>
  <si>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</si>
  <si>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</si>
  <si>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</si>
  <si>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</si>
  <si>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</si>
  <si>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</si>
  <si>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</si>
  <si>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</si>
  <si>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</si>
  <si>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</si>
  <si>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</si>
  <si>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</si>
  <si>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</si>
  <si>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</si>
  <si>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</si>
  <si>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</si>
  <si>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</si>
  <si>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</si>
  <si>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</si>
  <si>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</si>
  <si>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</si>
  <si>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</si>
  <si>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</si>
  <si>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</si>
  <si>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</si>
  <si>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</si>
  <si>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</si>
  <si>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</si>
  <si>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</si>
  <si>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</si>
  <si>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</si>
  <si>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</si>
  <si>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</si>
  <si>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</si>
  <si>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</si>
  <si>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</si>
  <si>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</si>
  <si>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</si>
  <si>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</si>
  <si>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</si>
  <si>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</si>
  <si>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</si>
  <si>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</si>
  <si>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</si>
  <si>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</si>
  <si>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</si>
  <si>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</si>
  <si>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</si>
  <si>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</si>
  <si>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</si>
  <si>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</si>
  <si>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</si>
  <si>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</si>
  <si>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</si>
  <si>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</si>
  <si>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</si>
  <si>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</si>
  <si>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</si>
  <si>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</si>
  <si>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</si>
  <si>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</si>
  <si>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</si>
  <si>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</si>
  <si>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</si>
  <si>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</si>
  <si>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</si>
  <si>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</si>
  <si>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</si>
  <si>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</si>
  <si>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</si>
  <si>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</si>
  <si>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</si>
  <si>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</si>
  <si>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</si>
  <si>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</si>
  <si>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</si>
  <si>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</si>
  <si>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</si>
  <si>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</si>
  <si>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</si>
  <si>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</si>
  <si>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</si>
  <si>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</si>
  <si>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</si>
  <si>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</si>
  <si>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</si>
  <si>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</si>
  <si>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</si>
  <si>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</si>
  <si>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</si>
  <si>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</si>
  <si>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</si>
  <si>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</si>
  <si>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</si>
  <si>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</si>
  <si>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</si>
  <si>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</si>
  <si>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</si>
  <si>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</si>
  <si>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</si>
  <si>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</si>
  <si>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</si>
  <si>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</si>
  <si>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</si>
  <si>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</si>
  <si>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</si>
  <si>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</si>
  <si>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</si>
  <si>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</si>
  <si>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</si>
  <si>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</si>
  <si>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</si>
  <si>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</si>
  <si>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</si>
  <si>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</si>
  <si>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</si>
  <si>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</si>
  <si>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</si>
  <si>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</si>
  <si>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</si>
  <si>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</si>
  <si>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</si>
  <si>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</si>
  <si>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</si>
  <si>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</si>
  <si>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</si>
  <si>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</si>
  <si>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</si>
  <si>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</si>
  <si>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</si>
  <si>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</si>
  <si>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</si>
  <si>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</si>
  <si>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</si>
  <si>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</si>
  <si>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</si>
  <si>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</si>
  <si>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</si>
  <si>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</si>
  <si>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</si>
  <si>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</si>
  <si>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</si>
  <si>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</si>
  <si>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</si>
  <si>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</si>
  <si>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</si>
  <si>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</si>
  <si>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</si>
  <si>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</si>
  <si>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</si>
  <si>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</si>
  <si>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</si>
  <si>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</si>
  <si>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</si>
  <si>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</si>
  <si>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</si>
  <si>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</si>
  <si>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</si>
  <si>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</si>
  <si>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</si>
  <si>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</si>
  <si>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</si>
  <si>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</si>
  <si>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</si>
  <si>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</si>
  <si>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</si>
  <si>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</si>
  <si>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</si>
  <si>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</si>
  <si>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</si>
  <si>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</si>
  <si>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</si>
  <si>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</si>
  <si>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</si>
  <si>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</si>
  <si>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</si>
  <si>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</si>
  <si>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</si>
  <si>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</si>
  <si>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</si>
  <si>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</si>
  <si>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</si>
  <si>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</si>
  <si>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</si>
  <si>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</si>
  <si>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</si>
  <si>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</si>
  <si>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</si>
  <si>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</si>
  <si>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</si>
  <si>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</si>
  <si>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</si>
  <si>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</si>
  <si>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</si>
  <si>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</si>
  <si>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</si>
  <si>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</si>
  <si>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</si>
  <si>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</si>
  <si>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</si>
  <si>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</si>
  <si>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</si>
  <si>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</si>
  <si>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</si>
  <si>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</si>
  <si>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</si>
  <si>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</si>
  <si>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</si>
  <si>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</si>
  <si>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</si>
  <si>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</si>
  <si>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</si>
  <si>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</si>
  <si>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</si>
  <si>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</si>
  <si>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</si>
  <si>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</si>
  <si>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</si>
  <si>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</si>
  <si>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</si>
  <si>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</si>
  <si>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</si>
  <si>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</si>
  <si>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</si>
  <si>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</si>
  <si>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</si>
  <si>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</si>
  <si>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</si>
  <si>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</si>
  <si>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</si>
  <si>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</si>
  <si>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</si>
  <si>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</si>
  <si>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</si>
  <si>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</si>
  <si>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</si>
  <si>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</si>
  <si>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</si>
  <si>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</si>
  <si>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</si>
  <si>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</si>
  <si>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</si>
  <si>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</si>
  <si>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</si>
  <si>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</si>
  <si>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</si>
  <si>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</si>
  <si>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</si>
  <si>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</si>
  <si>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</si>
  <si>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</si>
  <si>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</si>
  <si>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</si>
  <si>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</si>
  <si>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</si>
  <si>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</si>
  <si>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</si>
  <si>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</si>
  <si>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</si>
  <si>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</si>
  <si>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</si>
  <si>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</si>
  <si>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</si>
  <si>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</si>
  <si>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</si>
  <si>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</si>
  <si>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</si>
  <si>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</si>
  <si>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</si>
  <si>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</si>
  <si>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</si>
  <si>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</si>
  <si>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</si>
  <si>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</si>
  <si>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</si>
  <si>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</si>
  <si>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</si>
  <si>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</si>
  <si>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</si>
  <si>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</si>
  <si>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</si>
  <si>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</si>
  <si>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</si>
  <si>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</si>
  <si>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</si>
  <si>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</si>
  <si>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</si>
  <si>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</si>
  <si>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</si>
  <si>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</si>
  <si>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</si>
  <si>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</si>
  <si>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</si>
  <si>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</si>
  <si>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</si>
  <si>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</si>
  <si>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</si>
  <si>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</si>
  <si>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</si>
  <si>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</si>
  <si>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</si>
  <si>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</si>
  <si>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</si>
  <si>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</si>
  <si>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</si>
  <si>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</si>
  <si>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</si>
  <si>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</si>
  <si>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</si>
  <si>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</si>
  <si>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</si>
  <si>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</si>
  <si>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</si>
  <si>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</si>
  <si>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</si>
  <si>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</si>
  <si>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</si>
  <si>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</si>
  <si>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</si>
  <si>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</si>
  <si>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</si>
  <si>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</si>
  <si>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</si>
  <si>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</si>
  <si>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</si>
  <si>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</si>
  <si>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Total sales</t>
  </si>
  <si>
    <t>Total Profit</t>
  </si>
  <si>
    <t>Total Orders</t>
  </si>
  <si>
    <t>Avg Discount</t>
  </si>
  <si>
    <t>Avg Quantity</t>
  </si>
  <si>
    <t>Row Labels</t>
  </si>
  <si>
    <t>Grand Total</t>
  </si>
  <si>
    <t>2014</t>
  </si>
  <si>
    <t>2015</t>
  </si>
  <si>
    <t>2016</t>
  </si>
  <si>
    <t>2017</t>
  </si>
  <si>
    <t>Sum of Sales</t>
  </si>
  <si>
    <t>Sum of Profit</t>
  </si>
  <si>
    <t xml:space="preserve"> </t>
  </si>
  <si>
    <t>Column Labels</t>
  </si>
  <si>
    <t>Consumer Sum of Sales</t>
  </si>
  <si>
    <t>Consumer Sum of Profit</t>
  </si>
  <si>
    <t>Corporate Sum of Sales</t>
  </si>
  <si>
    <t>Corporate Sum of Profit</t>
  </si>
  <si>
    <t>Home Office Sum of Sales</t>
  </si>
  <si>
    <t>Home Office Sum of Profit</t>
  </si>
  <si>
    <t>Total Sum of Sales</t>
  </si>
  <si>
    <t>Total Sum of Profit</t>
  </si>
  <si>
    <t>Consumer Sum of Quantity</t>
  </si>
  <si>
    <t>Corporate Sum of Quantity</t>
  </si>
  <si>
    <t>Home Office Sum of Quantity</t>
  </si>
  <si>
    <t>Total Sum of Quantity</t>
  </si>
  <si>
    <t>Sum of Quantity</t>
  </si>
  <si>
    <t>(All)</t>
  </si>
  <si>
    <t>Qtr4</t>
  </si>
  <si>
    <t>Qtr2</t>
  </si>
  <si>
    <t>Qtr3</t>
  </si>
  <si>
    <t>Qtr1</t>
  </si>
  <si>
    <t>SALES REPORT FOR FY 2014-17 (XYZ CORP.)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</si>
</sst>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4" x14ac:knownFonts="1">
    <font>
      <sz val="11"/>
      <color theme="1"/>
      <name val="Calibri"/>
      <family val="2"/>
      <scheme val="minor"/>
    </font>
    <font>
      <sz val="12"/>
      <color rgb="FF000000"/>
      <name val="Calibri"/>
      <family val="2"/>
      <scheme val="minor"/>
    </font>
    <font>
      <b/>
      <i/>
      <sz val="16"/>
      <color theme="1"/>
      <name val="Calibri"/>
      <family val="2"/>
      <scheme val="minor"/>
    </font>
    <font>
      <b/>
      <i/>
      <u/>
      <sz val="28"/>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0" fontId="1" fillId="2" borderId="0" xfId="0" applyFont="1" applyFill="1"/>
    <xf numFmtId="0" fontId="0" fillId="2" borderId="0" xfId="0" applyFill="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4" fontId="0" fillId="0" borderId="0" xfId="0" applyNumberFormat="1" applyAlignment="1">
      <alignment horizontal="left" indent="1"/>
    </xf>
    <xf numFmtId="0" fontId="1" fillId="0" borderId="0" xfId="0" applyFont="1" applyFill="1"/>
    <xf numFmtId="44" fontId="0" fillId="0" borderId="0" xfId="0" applyNumberFormat="1"/>
    <xf numFmtId="0" fontId="0" fillId="0" borderId="0" xfId="0" applyAlignment="1">
      <alignment horizontal="left" indent="2"/>
    </xf>
    <xf numFmtId="1" fontId="0" fillId="0" borderId="0" xfId="0" applyNumberFormat="1"/>
    <xf numFmtId="14" fontId="0" fillId="0" borderId="0" xfId="0" applyNumberFormat="1" applyAlignment="1">
      <alignment horizontal="left" indent="3"/>
    </xf>
    <xf numFmtId="0" fontId="2" fillId="0" borderId="0" xfId="0" applyFont="1" applyFill="1" applyAlignment="1">
      <alignment horizontal="center"/>
    </xf>
    <xf numFmtId="0" fontId="0" fillId="3" borderId="0" xfId="0" applyFill="1"/>
    <xf numFmtId="0" fontId="0" fillId="4" borderId="0" xfId="0" applyFill="1"/>
    <xf numFmtId="0" fontId="3" fillId="3" borderId="0" xfId="0" applyFont="1" applyFill="1" applyAlignment="1">
      <alignment horizontal="center" vertical="center"/>
    </xf>
  </cellXfs>
  <cellStyles count="1">
    <cellStyle name="Normal" xfId="0" builtinId="0"/>
  </cellStyles>
  <dxfs count="6">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99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26" Type="http://schemas.microsoft.com/office/2007/relationships/slicerCache" Target="slicerCaches/slicerCache10.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5"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4.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7.xml"/><Relationship Id="rId28"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6.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1.xlsx]working 1!PivotTable1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a:t>
            </a:r>
            <a:r>
              <a:rPr lang="en-US" baseline="0"/>
              <a:t> category wise qty</a:t>
            </a:r>
          </a:p>
          <a:p>
            <a:pPr>
              <a:defRPr/>
            </a:pPr>
            <a:r>
              <a:rPr lang="en-US" baseline="0"/>
              <a:t> </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1'!$A$4:$A$18</c:f>
              <c:strCache>
                <c:ptCount val="14"/>
                <c:pt idx="0">
                  <c:v>Accessories</c:v>
                </c:pt>
                <c:pt idx="1">
                  <c:v>Appliances</c:v>
                </c:pt>
                <c:pt idx="2">
                  <c:v>Art</c:v>
                </c:pt>
                <c:pt idx="3">
                  <c:v>Binders</c:v>
                </c:pt>
                <c:pt idx="4">
                  <c:v>Bookcases</c:v>
                </c:pt>
                <c:pt idx="5">
                  <c:v>Chairs</c:v>
                </c:pt>
                <c:pt idx="6">
                  <c:v>Envelopes</c:v>
                </c:pt>
                <c:pt idx="7">
                  <c:v>Fasteners</c:v>
                </c:pt>
                <c:pt idx="8">
                  <c:v>Furnishings</c:v>
                </c:pt>
                <c:pt idx="9">
                  <c:v>Labels</c:v>
                </c:pt>
                <c:pt idx="10">
                  <c:v>Paper</c:v>
                </c:pt>
                <c:pt idx="11">
                  <c:v>Phones</c:v>
                </c:pt>
                <c:pt idx="12">
                  <c:v>Storage</c:v>
                </c:pt>
                <c:pt idx="13">
                  <c:v>Tables</c:v>
                </c:pt>
              </c:strCache>
            </c:strRef>
          </c:cat>
          <c:val>
            <c:numRef>
              <c:f>'working 1'!$B$4:$B$18</c:f>
              <c:numCache>
                <c:formatCode>General</c:formatCode>
                <c:ptCount val="14"/>
                <c:pt idx="0">
                  <c:v>13</c:v>
                </c:pt>
                <c:pt idx="1">
                  <c:v>24</c:v>
                </c:pt>
                <c:pt idx="2">
                  <c:v>38</c:v>
                </c:pt>
                <c:pt idx="3">
                  <c:v>54</c:v>
                </c:pt>
                <c:pt idx="4">
                  <c:v>12</c:v>
                </c:pt>
                <c:pt idx="5">
                  <c:v>29</c:v>
                </c:pt>
                <c:pt idx="6">
                  <c:v>18</c:v>
                </c:pt>
                <c:pt idx="7">
                  <c:v>7</c:v>
                </c:pt>
                <c:pt idx="8">
                  <c:v>41</c:v>
                </c:pt>
                <c:pt idx="9">
                  <c:v>10</c:v>
                </c:pt>
                <c:pt idx="10">
                  <c:v>24</c:v>
                </c:pt>
                <c:pt idx="11">
                  <c:v>41</c:v>
                </c:pt>
                <c:pt idx="12">
                  <c:v>39</c:v>
                </c:pt>
                <c:pt idx="13">
                  <c:v>17</c:v>
                </c:pt>
              </c:numCache>
            </c:numRef>
          </c:val>
          <c:extLst>
            <c:ext xmlns:c16="http://schemas.microsoft.com/office/drawing/2014/chart" uri="{C3380CC4-5D6E-409C-BE32-E72D297353CC}">
              <c16:uniqueId val="{00000000-3B3E-4EBC-B2AE-95E70A15D037}"/>
            </c:ext>
          </c:extLst>
        </c:ser>
        <c:dLbls>
          <c:dLblPos val="outEnd"/>
          <c:showLegendKey val="0"/>
          <c:showVal val="1"/>
          <c:showCatName val="0"/>
          <c:showSerName val="0"/>
          <c:showPercent val="0"/>
          <c:showBubbleSize val="0"/>
        </c:dLbls>
        <c:gapWidth val="444"/>
        <c:overlap val="-90"/>
        <c:axId val="1992459823"/>
        <c:axId val="1992458159"/>
      </c:barChart>
      <c:catAx>
        <c:axId val="19924598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2458159"/>
        <c:crosses val="autoZero"/>
        <c:auto val="1"/>
        <c:lblAlgn val="ctr"/>
        <c:lblOffset val="100"/>
        <c:noMultiLvlLbl val="0"/>
      </c:catAx>
      <c:valAx>
        <c:axId val="1992458159"/>
        <c:scaling>
          <c:orientation val="minMax"/>
        </c:scaling>
        <c:delete val="1"/>
        <c:axPos val="l"/>
        <c:numFmt formatCode="General" sourceLinked="1"/>
        <c:majorTickMark val="none"/>
        <c:minorTickMark val="none"/>
        <c:tickLblPos val="nextTo"/>
        <c:crossAx val="1992459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1.xlsx]working 2!PivotTable2</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qtr./year total sales</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2'!$A$4:$A$22</c:f>
              <c:multiLvlStrCache>
                <c:ptCount val="14"/>
                <c:lvl>
                  <c:pt idx="0">
                    <c:v>Qtr2</c:v>
                  </c:pt>
                  <c:pt idx="1">
                    <c:v>Qtr3</c:v>
                  </c:pt>
                  <c:pt idx="2">
                    <c:v>Qtr4</c:v>
                  </c:pt>
                  <c:pt idx="3">
                    <c:v>Qtr1</c:v>
                  </c:pt>
                  <c:pt idx="4">
                    <c:v>Qtr2</c:v>
                  </c:pt>
                  <c:pt idx="5">
                    <c:v>Qtr3</c:v>
                  </c:pt>
                  <c:pt idx="6">
                    <c:v>Qtr4</c:v>
                  </c:pt>
                  <c:pt idx="7">
                    <c:v>Qtr1</c:v>
                  </c:pt>
                  <c:pt idx="8">
                    <c:v>Qtr2</c:v>
                  </c:pt>
                  <c:pt idx="9">
                    <c:v>Qtr3</c:v>
                  </c:pt>
                  <c:pt idx="10">
                    <c:v>Qtr4</c:v>
                  </c:pt>
                  <c:pt idx="11">
                    <c:v>Qtr2</c:v>
                  </c:pt>
                  <c:pt idx="12">
                    <c:v>Qtr3</c:v>
                  </c:pt>
                  <c:pt idx="13">
                    <c:v>Qtr4</c:v>
                  </c:pt>
                </c:lvl>
                <c:lvl>
                  <c:pt idx="0">
                    <c:v>2014</c:v>
                  </c:pt>
                  <c:pt idx="3">
                    <c:v>2015</c:v>
                  </c:pt>
                  <c:pt idx="7">
                    <c:v>2016</c:v>
                  </c:pt>
                  <c:pt idx="11">
                    <c:v>2017</c:v>
                  </c:pt>
                </c:lvl>
              </c:multiLvlStrCache>
            </c:multiLvlStrRef>
          </c:cat>
          <c:val>
            <c:numRef>
              <c:f>'working 2'!$B$4:$B$22</c:f>
              <c:numCache>
                <c:formatCode>0</c:formatCode>
                <c:ptCount val="14"/>
                <c:pt idx="0">
                  <c:v>3769.8040000000001</c:v>
                </c:pt>
                <c:pt idx="1">
                  <c:v>244.76000000000002</c:v>
                </c:pt>
                <c:pt idx="2">
                  <c:v>2214.422</c:v>
                </c:pt>
                <c:pt idx="3">
                  <c:v>99.260000000000019</c:v>
                </c:pt>
                <c:pt idx="4">
                  <c:v>1424.4250000000002</c:v>
                </c:pt>
                <c:pt idx="5">
                  <c:v>4575.0480000000016</c:v>
                </c:pt>
                <c:pt idx="6">
                  <c:v>2546.5467000000003</c:v>
                </c:pt>
                <c:pt idx="7">
                  <c:v>165.65800000000002</c:v>
                </c:pt>
                <c:pt idx="8">
                  <c:v>1195.6579999999997</c:v>
                </c:pt>
                <c:pt idx="9">
                  <c:v>260.53999999999996</c:v>
                </c:pt>
                <c:pt idx="10">
                  <c:v>3815.3500000000004</c:v>
                </c:pt>
                <c:pt idx="11">
                  <c:v>368.82400000000001</c:v>
                </c:pt>
                <c:pt idx="12">
                  <c:v>333.20600000000002</c:v>
                </c:pt>
                <c:pt idx="13">
                  <c:v>426.40600000000006</c:v>
                </c:pt>
              </c:numCache>
            </c:numRef>
          </c:val>
          <c:extLst>
            <c:ext xmlns:c16="http://schemas.microsoft.com/office/drawing/2014/chart" uri="{C3380CC4-5D6E-409C-BE32-E72D297353CC}">
              <c16:uniqueId val="{00000000-C68D-4182-9F9E-6A4C0BFB1F27}"/>
            </c:ext>
          </c:extLst>
        </c:ser>
        <c:dLbls>
          <c:dLblPos val="outEnd"/>
          <c:showLegendKey val="0"/>
          <c:showVal val="1"/>
          <c:showCatName val="0"/>
          <c:showSerName val="0"/>
          <c:showPercent val="0"/>
          <c:showBubbleSize val="0"/>
        </c:dLbls>
        <c:gapWidth val="444"/>
        <c:overlap val="-90"/>
        <c:axId val="968929071"/>
        <c:axId val="968936559"/>
      </c:barChart>
      <c:catAx>
        <c:axId val="96892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968936559"/>
        <c:crosses val="autoZero"/>
        <c:auto val="1"/>
        <c:lblAlgn val="ctr"/>
        <c:lblOffset val="100"/>
        <c:noMultiLvlLbl val="0"/>
      </c:catAx>
      <c:valAx>
        <c:axId val="968936559"/>
        <c:scaling>
          <c:orientation val="minMax"/>
        </c:scaling>
        <c:delete val="1"/>
        <c:axPos val="l"/>
        <c:numFmt formatCode="0" sourceLinked="1"/>
        <c:majorTickMark val="none"/>
        <c:minorTickMark val="none"/>
        <c:tickLblPos val="nextTo"/>
        <c:crossAx val="968929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1.xlsx]working 3!PivotTable3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7031627296587928"/>
          <c:y val="0.24939596092155147"/>
          <c:w val="0.41147353455818025"/>
          <c:h val="0.68578922426363376"/>
        </c:manualLayout>
      </c:layout>
      <c:doughnutChart>
        <c:varyColors val="1"/>
        <c:ser>
          <c:idx val="0"/>
          <c:order val="0"/>
          <c:tx>
            <c:strRef>
              <c:f>'working 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924-4F72-9AF6-5BAC67A7C1A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924-4F72-9AF6-5BAC67A7C1A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924-4F72-9AF6-5BAC67A7C1A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'working 3'!$A$4:$A$7</c:f>
              <c:strCache>
                <c:ptCount val="3"/>
                <c:pt idx="0">
                  <c:v>Consumer</c:v>
                </c:pt>
                <c:pt idx="1">
                  <c:v>Corporate</c:v>
                </c:pt>
                <c:pt idx="2">
                  <c:v>Home Office</c:v>
                </c:pt>
              </c:strCache>
            </c:strRef>
          </c:cat>
          <c:val>
            <c:numRef>
              <c:f>'working 3'!$B$4:$B$7</c:f>
              <c:numCache>
                <c:formatCode>General</c:formatCode>
                <c:ptCount val="3"/>
                <c:pt idx="0">
                  <c:v>218</c:v>
                </c:pt>
                <c:pt idx="1">
                  <c:v>96</c:v>
                </c:pt>
                <c:pt idx="2">
                  <c:v>53</c:v>
                </c:pt>
              </c:numCache>
            </c:numRef>
          </c:val>
          <c:extLst>
            <c:ext xmlns:c16="http://schemas.microsoft.com/office/drawing/2014/chart" uri="{C3380CC4-5D6E-409C-BE32-E72D297353CC}">
              <c16:uniqueId val="{00000006-9924-4F72-9AF6-5BAC67A7C1A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80832077444971595"/>
          <c:y val="4.8554995976115498E-2"/>
          <c:w val="0.17506967510237106"/>
          <c:h val="0.71706138092048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1.xlsx]working 4!PivotTable4</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region wise profit</a:t>
            </a:r>
          </a:p>
        </c:rich>
      </c:tx>
      <c:layout>
        <c:manualLayout>
          <c:xMode val="edge"/>
          <c:yMode val="edge"/>
          <c:x val="0.24373367967408374"/>
          <c:y val="5.530501120333131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3017953961870196"/>
          <c:y val="0.17321965738249812"/>
          <c:w val="0.46926099020611944"/>
          <c:h val="0.79795371458547659"/>
        </c:manualLayout>
      </c:layout>
      <c:doughnutChart>
        <c:varyColors val="1"/>
        <c:ser>
          <c:idx val="0"/>
          <c:order val="0"/>
          <c:tx>
            <c:strRef>
              <c:f>'working 4'!$B$3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17D-475C-866D-1B3EB920658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17D-475C-866D-1B3EB9206586}"/>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17D-475C-866D-1B3EB9206586}"/>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17D-475C-866D-1B3EB920658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'working 4'!$A$4:$A$8</c:f>
              <c:strCache>
                <c:ptCount val="4"/>
                <c:pt idx="0">
                  <c:v>Central</c:v>
                </c:pt>
                <c:pt idx="1">
                  <c:v>East</c:v>
                </c:pt>
                <c:pt idx="2">
                  <c:v>South</c:v>
                </c:pt>
                <c:pt idx="3">
                  <c:v>West</c:v>
                </c:pt>
              </c:strCache>
            </c:strRef>
          </c:cat>
          <c:val>
            <c:numRef>
              <c:f>'working 4'!$B$4:$B$8</c:f>
              <c:numCache>
                <c:formatCode>0</c:formatCode>
                <c:ptCount val="4"/>
                <c:pt idx="0">
                  <c:v>43.44019999999977</c:v>
                </c:pt>
                <c:pt idx="1">
                  <c:v>-1188.4077</c:v>
                </c:pt>
                <c:pt idx="2">
                  <c:v>-39.463300000000118</c:v>
                </c:pt>
                <c:pt idx="3">
                  <c:v>1059.9216999999999</c:v>
                </c:pt>
              </c:numCache>
            </c:numRef>
          </c:val>
          <c:extLst>
            <c:ext xmlns:c16="http://schemas.microsoft.com/office/drawing/2014/chart" uri="{C3380CC4-5D6E-409C-BE32-E72D297353CC}">
              <c16:uniqueId val="{00000008-117D-475C-866D-1B3EB920658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8753616718711372"/>
          <c:y val="3.350238686580502E-2"/>
          <c:w val="0.19585428236497329"/>
          <c:h val="0.95993737265225787"/>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1.xlsx]Sales trend graph!PivotTable1</c:name>
    <c:fmtId val="27"/>
  </c:pivotSource>
  <c:chart>
    <c:title>
      <c:tx>
        <c:rich>
          <a:bodyPr rot="0" spcFirstLastPara="1" vertOverflow="ellipsis" vert="horz" wrap="square" anchor="ctr" anchorCtr="1"/>
          <a:lstStyle/>
          <a:p>
            <a:pPr algn="l">
              <a:defRPr sz="3200" b="0" i="0" u="none" strike="noStrike" kern="1200" cap="none" spc="20" baseline="0">
                <a:solidFill>
                  <a:schemeClr val="dk1"/>
                </a:solidFill>
                <a:latin typeface="+mn-lt"/>
                <a:ea typeface="+mn-ea"/>
                <a:cs typeface="+mn-cs"/>
              </a:defRPr>
            </a:pPr>
            <a:r>
              <a:rPr lang="en-IN" sz="3200" baseline="0">
                <a:solidFill>
                  <a:schemeClr val="dk1"/>
                </a:solidFill>
                <a:latin typeface="+mn-lt"/>
                <a:ea typeface="+mn-ea"/>
                <a:cs typeface="+mn-cs"/>
              </a:rPr>
              <a:t>SALES TREND BY YEAR</a:t>
            </a:r>
          </a:p>
        </c:rich>
      </c:tx>
      <c:layout>
        <c:manualLayout>
          <c:xMode val="edge"/>
          <c:yMode val="edge"/>
          <c:x val="9.2599618374679948E-2"/>
          <c:y val="1.2928459278055105E-2"/>
        </c:manualLayout>
      </c:layout>
      <c:overlay val="0"/>
      <c:spPr>
        <a:solidFill>
          <a:schemeClr val="lt1"/>
        </a:solidFill>
        <a:ln w="12700" cap="flat" cmpd="sng" algn="ctr">
          <a:solidFill>
            <a:schemeClr val="accent3"/>
          </a:solidFill>
          <a:prstDash val="solid"/>
          <a:miter lim="800000"/>
        </a:ln>
        <a:effectLst/>
      </c:spPr>
      <c:txPr>
        <a:bodyPr rot="0" spcFirstLastPara="1" vertOverflow="ellipsis" vert="horz" wrap="square" anchor="ctr" anchorCtr="1"/>
        <a:lstStyle/>
        <a:p>
          <a:pPr algn="l">
            <a:defRPr sz="3200" b="0" i="0" u="none" strike="noStrike" kern="1200" cap="none" spc="20" baseline="0">
              <a:solidFill>
                <a:schemeClr val="dk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manualLayout>
          <c:layoutTarget val="inner"/>
          <c:xMode val="edge"/>
          <c:yMode val="edge"/>
          <c:x val="0.12130060302084852"/>
          <c:y val="0.30146423892168578"/>
          <c:w val="0.7688431210552642"/>
          <c:h val="0.3989089384660251"/>
        </c:manualLayout>
      </c:layout>
      <c:lineChart>
        <c:grouping val="stacked"/>
        <c:varyColors val="0"/>
        <c:ser>
          <c:idx val="0"/>
          <c:order val="0"/>
          <c:tx>
            <c:strRef>
              <c:f>'Sales trend graph'!$B$3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Pt>
            <c:idx val="9"/>
            <c:marker>
              <c:symbol val="circle"/>
              <c:size val="4"/>
              <c:spPr>
                <a:solidFill>
                  <a:schemeClr val="accent1"/>
                </a:solidFill>
                <a:ln w="9525" cap="flat" cmpd="sng" algn="ctr">
                  <a:solidFill>
                    <a:schemeClr val="accent1"/>
                  </a:solidFill>
                  <a:round/>
                </a:ln>
                <a:effectLst/>
              </c:spPr>
            </c:marker>
            <c:bubble3D val="0"/>
            <c:spPr>
              <a:ln w="22225" cap="rnd" cmpd="sng" algn="ctr">
                <a:solidFill>
                  <a:schemeClr val="accent1"/>
                </a:solidFill>
                <a:round/>
              </a:ln>
              <a:effectLst/>
            </c:spPr>
            <c:extLst>
              <c:ext xmlns:c16="http://schemas.microsoft.com/office/drawing/2014/chart" uri="{C3380CC4-5D6E-409C-BE32-E72D297353CC}">
                <c16:uniqueId val="{00000002-7420-4D6C-AB18-AC2324BBC1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 graph'!$A$4:$A$22</c:f>
              <c:multiLvlStrCache>
                <c:ptCount val="14"/>
                <c:lvl>
                  <c:pt idx="0">
                    <c:v>Qtr2</c:v>
                  </c:pt>
                  <c:pt idx="1">
                    <c:v>Qtr3</c:v>
                  </c:pt>
                  <c:pt idx="2">
                    <c:v>Qtr4</c:v>
                  </c:pt>
                  <c:pt idx="3">
                    <c:v>Qtr1</c:v>
                  </c:pt>
                  <c:pt idx="4">
                    <c:v>Qtr2</c:v>
                  </c:pt>
                  <c:pt idx="5">
                    <c:v>Qtr3</c:v>
                  </c:pt>
                  <c:pt idx="6">
                    <c:v>Qtr4</c:v>
                  </c:pt>
                  <c:pt idx="7">
                    <c:v>Qtr1</c:v>
                  </c:pt>
                  <c:pt idx="8">
                    <c:v>Qtr2</c:v>
                  </c:pt>
                  <c:pt idx="9">
                    <c:v>Qtr3</c:v>
                  </c:pt>
                  <c:pt idx="10">
                    <c:v>Qtr4</c:v>
                  </c:pt>
                  <c:pt idx="11">
                    <c:v>Qtr2</c:v>
                  </c:pt>
                  <c:pt idx="12">
                    <c:v>Qtr3</c:v>
                  </c:pt>
                  <c:pt idx="13">
                    <c:v>Qtr4</c:v>
                  </c:pt>
                </c:lvl>
                <c:lvl>
                  <c:pt idx="0">
                    <c:v>2014</c:v>
                  </c:pt>
                  <c:pt idx="3">
                    <c:v>2015</c:v>
                  </c:pt>
                  <c:pt idx="7">
                    <c:v>2016</c:v>
                  </c:pt>
                  <c:pt idx="11">
                    <c:v>2017</c:v>
                  </c:pt>
                </c:lvl>
              </c:multiLvlStrCache>
            </c:multiLvlStrRef>
          </c:cat>
          <c:val>
            <c:numRef>
              <c:f>'Sales trend graph'!$B$4:$B$22</c:f>
              <c:numCache>
                <c:formatCode>0</c:formatCode>
                <c:ptCount val="14"/>
                <c:pt idx="0">
                  <c:v>3769.8040000000001</c:v>
                </c:pt>
                <c:pt idx="1">
                  <c:v>244.76000000000002</c:v>
                </c:pt>
                <c:pt idx="2">
                  <c:v>2214.422</c:v>
                </c:pt>
                <c:pt idx="3">
                  <c:v>99.260000000000019</c:v>
                </c:pt>
                <c:pt idx="4">
                  <c:v>1424.4250000000002</c:v>
                </c:pt>
                <c:pt idx="5">
                  <c:v>4575.0480000000016</c:v>
                </c:pt>
                <c:pt idx="6">
                  <c:v>2546.5467000000003</c:v>
                </c:pt>
                <c:pt idx="7">
                  <c:v>165.65800000000002</c:v>
                </c:pt>
                <c:pt idx="8">
                  <c:v>1195.6579999999997</c:v>
                </c:pt>
                <c:pt idx="9">
                  <c:v>260.53999999999996</c:v>
                </c:pt>
                <c:pt idx="10">
                  <c:v>3815.3500000000004</c:v>
                </c:pt>
                <c:pt idx="11">
                  <c:v>368.82400000000001</c:v>
                </c:pt>
                <c:pt idx="12">
                  <c:v>333.20600000000002</c:v>
                </c:pt>
                <c:pt idx="13">
                  <c:v>426.40600000000006</c:v>
                </c:pt>
              </c:numCache>
            </c:numRef>
          </c:val>
          <c:smooth val="0"/>
          <c:extLst>
            <c:ext xmlns:c16="http://schemas.microsoft.com/office/drawing/2014/chart" uri="{C3380CC4-5D6E-409C-BE32-E72D297353CC}">
              <c16:uniqueId val="{00000000-7420-4D6C-AB18-AC2324BBC118}"/>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475334768"/>
        <c:axId val="475330192"/>
      </c:lineChart>
      <c:catAx>
        <c:axId val="475334768"/>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330192"/>
        <c:crosses val="autoZero"/>
        <c:auto val="1"/>
        <c:lblAlgn val="ctr"/>
        <c:lblOffset val="100"/>
        <c:noMultiLvlLbl val="0"/>
      </c:catAx>
      <c:valAx>
        <c:axId val="47533019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 Title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475334768"/>
        <c:crosses val="autoZero"/>
        <c:crossBetween val="between"/>
      </c:valAx>
      <c:dTable>
        <c:showHorzBorder val="1"/>
        <c:showVertBorder val="1"/>
        <c:showOutline val="1"/>
        <c:showKeys val="1"/>
        <c:spPr>
          <a:noFill/>
          <a:ln w="9525">
            <a:solidFill>
              <a:schemeClr val="dk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n-US"/>
          </a:p>
        </c:txPr>
      </c:dTable>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a:t>bar chart</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52580927384076"/>
          <c:y val="0.15782407407407409"/>
          <c:w val="0.80802974628171476"/>
          <c:h val="0.36590004374453194"/>
        </c:manualLayout>
      </c:layout>
      <c:barChart>
        <c:barDir val="col"/>
        <c:grouping val="clustered"/>
        <c:varyColors val="0"/>
        <c:ser>
          <c:idx val="0"/>
          <c:order val="0"/>
          <c:tx>
            <c:strRef>
              <c:f>'tpo 5 Bar chart'!$Q$2</c:f>
              <c:strCache>
                <c:ptCount val="1"/>
                <c:pt idx="0">
                  <c:v>Chromcraft Rectangular Conference Tables</c:v>
                </c:pt>
              </c:strCache>
            </c:strRef>
          </c:tx>
          <c:spPr>
            <a:solidFill>
              <a:schemeClr val="accent1"/>
            </a:solidFill>
            <a:ln>
              <a:noFill/>
            </a:ln>
            <a:effectLst/>
          </c:spPr>
          <c:invertIfNegative val="0"/>
          <c:cat>
            <c:strRef>
              <c:f>'tpo 5 Bar chart'!$R$1:$U$1</c:f>
              <c:strCache>
                <c:ptCount val="4"/>
                <c:pt idx="0">
                  <c:v>Sales</c:v>
                </c:pt>
                <c:pt idx="1">
                  <c:v>Profit</c:v>
                </c:pt>
                <c:pt idx="2">
                  <c:v>Quantity</c:v>
                </c:pt>
                <c:pt idx="3">
                  <c:v>Discount</c:v>
                </c:pt>
              </c:strCache>
            </c:strRef>
          </c:cat>
          <c:val>
            <c:numRef>
              <c:f>'tpo 5 Bar chart'!$R$2:$U$2</c:f>
              <c:numCache>
                <c:formatCode>_-[$$-409]* #,##0.00_ ;_-[$$-409]* \-#,##0.00\ ;_-[$$-409]* "-"??_ ;_-@_ </c:formatCode>
                <c:ptCount val="4"/>
                <c:pt idx="0">
                  <c:v>1706.1840000000002</c:v>
                </c:pt>
                <c:pt idx="1">
                  <c:v>85.309199999999805</c:v>
                </c:pt>
                <c:pt idx="2" formatCode="General">
                  <c:v>9</c:v>
                </c:pt>
                <c:pt idx="3">
                  <c:v>0.2</c:v>
                </c:pt>
              </c:numCache>
            </c:numRef>
          </c:val>
          <c:extLst>
            <c:ext xmlns:c16="http://schemas.microsoft.com/office/drawing/2014/chart" uri="{C3380CC4-5D6E-409C-BE32-E72D297353CC}">
              <c16:uniqueId val="{00000000-334B-448A-8BF6-65F5238BFC1F}"/>
            </c:ext>
          </c:extLst>
        </c:ser>
        <c:ser>
          <c:idx val="1"/>
          <c:order val="1"/>
          <c:tx>
            <c:strRef>
              <c:f>'tpo 5 Bar chart'!$Q$3</c:f>
              <c:strCache>
                <c:ptCount val="1"/>
                <c:pt idx="0">
                  <c:v>Bretford CR4500 Series Slim Rectangular Table</c:v>
                </c:pt>
              </c:strCache>
            </c:strRef>
          </c:tx>
          <c:spPr>
            <a:solidFill>
              <a:schemeClr val="accent2"/>
            </a:solidFill>
            <a:ln>
              <a:noFill/>
            </a:ln>
            <a:effectLst/>
          </c:spPr>
          <c:invertIfNegative val="0"/>
          <c:cat>
            <c:strRef>
              <c:f>'tpo 5 Bar chart'!$R$1:$U$1</c:f>
              <c:strCache>
                <c:ptCount val="4"/>
                <c:pt idx="0">
                  <c:v>Sales</c:v>
                </c:pt>
                <c:pt idx="1">
                  <c:v>Profit</c:v>
                </c:pt>
                <c:pt idx="2">
                  <c:v>Quantity</c:v>
                </c:pt>
                <c:pt idx="3">
                  <c:v>Discount</c:v>
                </c:pt>
              </c:strCache>
            </c:strRef>
          </c:cat>
          <c:val>
            <c:numRef>
              <c:f>'tpo 5 Bar chart'!$R$3:$U$3</c:f>
              <c:numCache>
                <c:formatCode>_-[$$-409]* #,##0.00_ ;_-[$$-409]* \-#,##0.00\ ;_-[$$-409]* "-"??_ ;_-@_ </c:formatCode>
                <c:ptCount val="4"/>
                <c:pt idx="0">
                  <c:v>1044.6299999999999</c:v>
                </c:pt>
                <c:pt idx="1">
                  <c:v>240.26490000000001</c:v>
                </c:pt>
                <c:pt idx="2" formatCode="General">
                  <c:v>3</c:v>
                </c:pt>
                <c:pt idx="3">
                  <c:v>0</c:v>
                </c:pt>
              </c:numCache>
            </c:numRef>
          </c:val>
          <c:extLst>
            <c:ext xmlns:c16="http://schemas.microsoft.com/office/drawing/2014/chart" uri="{C3380CC4-5D6E-409C-BE32-E72D297353CC}">
              <c16:uniqueId val="{00000001-334B-448A-8BF6-65F5238BFC1F}"/>
            </c:ext>
          </c:extLst>
        </c:ser>
        <c:ser>
          <c:idx val="2"/>
          <c:order val="2"/>
          <c:tx>
            <c:strRef>
              <c:f>'tpo 5 Bar chart'!$Q$4</c:f>
              <c:strCache>
                <c:ptCount val="1"/>
                <c:pt idx="0">
                  <c:v>Riverside Palais Royal Lawyers Bookcase, Royale Cherry Finish</c:v>
                </c:pt>
              </c:strCache>
            </c:strRef>
          </c:tx>
          <c:spPr>
            <a:solidFill>
              <a:schemeClr val="accent3"/>
            </a:solidFill>
            <a:ln>
              <a:noFill/>
            </a:ln>
            <a:effectLst/>
          </c:spPr>
          <c:invertIfNegative val="0"/>
          <c:cat>
            <c:strRef>
              <c:f>'tpo 5 Bar chart'!$R$1:$U$1</c:f>
              <c:strCache>
                <c:ptCount val="4"/>
                <c:pt idx="0">
                  <c:v>Sales</c:v>
                </c:pt>
                <c:pt idx="1">
                  <c:v>Profit</c:v>
                </c:pt>
                <c:pt idx="2">
                  <c:v>Quantity</c:v>
                </c:pt>
                <c:pt idx="3">
                  <c:v>Discount</c:v>
                </c:pt>
              </c:strCache>
            </c:strRef>
          </c:cat>
          <c:val>
            <c:numRef>
              <c:f>'tpo 5 Bar chart'!$R$4:$U$4</c:f>
              <c:numCache>
                <c:formatCode>_-[$$-409]* #,##0.00_ ;_-[$$-409]* \-#,##0.00\ ;_-[$$-409]* "-"??_ ;_-@_ </c:formatCode>
                <c:ptCount val="4"/>
                <c:pt idx="0">
                  <c:v>3083.4300000000003</c:v>
                </c:pt>
                <c:pt idx="1">
                  <c:v>-1665.0522000000001</c:v>
                </c:pt>
                <c:pt idx="2" formatCode="General">
                  <c:v>7</c:v>
                </c:pt>
                <c:pt idx="3">
                  <c:v>0.5</c:v>
                </c:pt>
              </c:numCache>
            </c:numRef>
          </c:val>
          <c:extLst>
            <c:ext xmlns:c16="http://schemas.microsoft.com/office/drawing/2014/chart" uri="{C3380CC4-5D6E-409C-BE32-E72D297353CC}">
              <c16:uniqueId val="{00000002-334B-448A-8BF6-65F5238BFC1F}"/>
            </c:ext>
          </c:extLst>
        </c:ser>
        <c:ser>
          <c:idx val="3"/>
          <c:order val="3"/>
          <c:tx>
            <c:strRef>
              <c:f>'tpo 5 Bar chart'!$Q$5</c:f>
              <c:strCache>
                <c:ptCount val="1"/>
                <c:pt idx="0">
                  <c:v>GE 30524EE4</c:v>
                </c:pt>
              </c:strCache>
            </c:strRef>
          </c:tx>
          <c:spPr>
            <a:solidFill>
              <a:schemeClr val="accent4"/>
            </a:solidFill>
            <a:ln>
              <a:noFill/>
            </a:ln>
            <a:effectLst/>
          </c:spPr>
          <c:invertIfNegative val="0"/>
          <c:cat>
            <c:strRef>
              <c:f>'tpo 5 Bar chart'!$R$1:$U$1</c:f>
              <c:strCache>
                <c:ptCount val="4"/>
                <c:pt idx="0">
                  <c:v>Sales</c:v>
                </c:pt>
                <c:pt idx="1">
                  <c:v>Profit</c:v>
                </c:pt>
                <c:pt idx="2">
                  <c:v>Quantity</c:v>
                </c:pt>
                <c:pt idx="3">
                  <c:v>Discount</c:v>
                </c:pt>
              </c:strCache>
            </c:strRef>
          </c:cat>
          <c:val>
            <c:numRef>
              <c:f>'tpo 5 Bar chart'!$R$5:$U$5</c:f>
              <c:numCache>
                <c:formatCode>_-[$$-409]* #,##0.00_ ;_-[$$-409]* \-#,##0.00\ ;_-[$$-409]* "-"??_ ;_-@_ </c:formatCode>
                <c:ptCount val="4"/>
                <c:pt idx="0">
                  <c:v>1097.5440000000003</c:v>
                </c:pt>
                <c:pt idx="1">
                  <c:v>123.47369999999989</c:v>
                </c:pt>
                <c:pt idx="2" formatCode="General">
                  <c:v>7</c:v>
                </c:pt>
                <c:pt idx="3">
                  <c:v>0.2</c:v>
                </c:pt>
              </c:numCache>
            </c:numRef>
          </c:val>
          <c:extLst>
            <c:ext xmlns:c16="http://schemas.microsoft.com/office/drawing/2014/chart" uri="{C3380CC4-5D6E-409C-BE32-E72D297353CC}">
              <c16:uniqueId val="{00000003-334B-448A-8BF6-65F5238BFC1F}"/>
            </c:ext>
          </c:extLst>
        </c:ser>
        <c:ser>
          <c:idx val="4"/>
          <c:order val="4"/>
          <c:tx>
            <c:strRef>
              <c:f>'tpo 5 Bar chart'!$Q$6</c:f>
              <c:strCache>
                <c:ptCount val="1"/>
                <c:pt idx="0">
                  <c:v>Hunt BOSTON Model 1606 High-Volume Electric Pencil Sharpener, Beige</c:v>
                </c:pt>
              </c:strCache>
            </c:strRef>
          </c:tx>
          <c:spPr>
            <a:solidFill>
              <a:schemeClr val="accent5"/>
            </a:solidFill>
            <a:ln>
              <a:noFill/>
            </a:ln>
            <a:effectLst/>
          </c:spPr>
          <c:invertIfNegative val="0"/>
          <c:cat>
            <c:strRef>
              <c:f>'tpo 5 Bar chart'!$R$1:$U$1</c:f>
              <c:strCache>
                <c:ptCount val="4"/>
                <c:pt idx="0">
                  <c:v>Sales</c:v>
                </c:pt>
                <c:pt idx="1">
                  <c:v>Profit</c:v>
                </c:pt>
                <c:pt idx="2">
                  <c:v>Quantity</c:v>
                </c:pt>
                <c:pt idx="3">
                  <c:v>Discount</c:v>
                </c:pt>
              </c:strCache>
            </c:strRef>
          </c:cat>
          <c:val>
            <c:numRef>
              <c:f>'tpo 5 Bar chart'!$R$6:$U$6</c:f>
              <c:numCache>
                <c:formatCode>_-[$$-409]* #,##0.00_ ;_-[$$-409]* \-#,##0.00\ ;_-[$$-409]* "-"??_ ;_-@_ </c:formatCode>
                <c:ptCount val="4"/>
                <c:pt idx="0">
                  <c:v>1113.0240000000001</c:v>
                </c:pt>
                <c:pt idx="1">
                  <c:v>111.30239999999998</c:v>
                </c:pt>
                <c:pt idx="2" formatCode="General">
                  <c:v>8</c:v>
                </c:pt>
                <c:pt idx="3">
                  <c:v>0.2</c:v>
                </c:pt>
              </c:numCache>
            </c:numRef>
          </c:val>
          <c:extLst>
            <c:ext xmlns:c16="http://schemas.microsoft.com/office/drawing/2014/chart" uri="{C3380CC4-5D6E-409C-BE32-E72D297353CC}">
              <c16:uniqueId val="{00000004-334B-448A-8BF6-65F5238BFC1F}"/>
            </c:ext>
          </c:extLst>
        </c:ser>
        <c:dLbls>
          <c:showLegendKey val="0"/>
          <c:showVal val="0"/>
          <c:showCatName val="0"/>
          <c:showSerName val="0"/>
          <c:showPercent val="0"/>
          <c:showBubbleSize val="0"/>
        </c:dLbls>
        <c:gapWidth val="219"/>
        <c:overlap val="-27"/>
        <c:axId val="1058476768"/>
        <c:axId val="1058479680"/>
      </c:barChart>
      <c:catAx>
        <c:axId val="105847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79680"/>
        <c:crosses val="autoZero"/>
        <c:auto val="1"/>
        <c:lblAlgn val="ctr"/>
        <c:lblOffset val="100"/>
        <c:noMultiLvlLbl val="0"/>
      </c:catAx>
      <c:valAx>
        <c:axId val="1058479680"/>
        <c:scaling>
          <c:orientation val="minMax"/>
        </c:scaling>
        <c:delete val="0"/>
        <c:axPos val="l"/>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476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1.xlsx]column chart!PivotTable3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i="1">
                <a:solidFill>
                  <a:schemeClr val="tx1"/>
                </a:solidFill>
              </a:rPr>
              <a:t>CATEGORY</a:t>
            </a:r>
            <a:r>
              <a:rPr lang="en-US" sz="2000" b="1" i="1" baseline="0">
                <a:solidFill>
                  <a:schemeClr val="tx1"/>
                </a:solidFill>
              </a:rPr>
              <a:t> BY SALES</a:t>
            </a:r>
          </a:p>
        </c:rich>
      </c:tx>
      <c:layout>
        <c:manualLayout>
          <c:xMode val="edge"/>
          <c:yMode val="edge"/>
          <c:x val="0.12966005196343522"/>
          <c:y val="2.92367989297496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multiLvlStrRef>
              <c:f>'column chart'!$A$4:$A$21</c:f>
              <c:multiLvlStrCache>
                <c:ptCount val="14"/>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Accessories</c:v>
                  </c:pt>
                  <c:pt idx="13">
                    <c:v>Phones</c:v>
                  </c:pt>
                </c:lvl>
                <c:lvl>
                  <c:pt idx="0">
                    <c:v>Furniture</c:v>
                  </c:pt>
                  <c:pt idx="4">
                    <c:v>Office Supplies</c:v>
                  </c:pt>
                  <c:pt idx="12">
                    <c:v>Technology</c:v>
                  </c:pt>
                </c:lvl>
              </c:multiLvlStrCache>
            </c:multiLvlStrRef>
          </c:cat>
          <c:val>
            <c:numRef>
              <c:f>'column chart'!$B$4:$B$21</c:f>
              <c:numCache>
                <c:formatCode>0</c:formatCode>
                <c:ptCount val="14"/>
                <c:pt idx="0">
                  <c:v>3877.7892000000002</c:v>
                </c:pt>
                <c:pt idx="1">
                  <c:v>2771.7809999999999</c:v>
                </c:pt>
                <c:pt idx="2">
                  <c:v>725.81799999999998</c:v>
                </c:pt>
                <c:pt idx="3">
                  <c:v>3708.3914999999997</c:v>
                </c:pt>
                <c:pt idx="4">
                  <c:v>530.08999999999992</c:v>
                </c:pt>
                <c:pt idx="5">
                  <c:v>1287.0680000000002</c:v>
                </c:pt>
                <c:pt idx="6">
                  <c:v>722.41000000000008</c:v>
                </c:pt>
                <c:pt idx="7">
                  <c:v>317.57600000000002</c:v>
                </c:pt>
                <c:pt idx="8">
                  <c:v>15.260000000000002</c:v>
                </c:pt>
                <c:pt idx="9">
                  <c:v>95.96</c:v>
                </c:pt>
                <c:pt idx="10">
                  <c:v>353.084</c:v>
                </c:pt>
                <c:pt idx="11">
                  <c:v>1847.922</c:v>
                </c:pt>
                <c:pt idx="12">
                  <c:v>245.52</c:v>
                </c:pt>
                <c:pt idx="13">
                  <c:v>4941.2380000000003</c:v>
                </c:pt>
              </c:numCache>
            </c:numRef>
          </c:val>
          <c:extLst>
            <c:ext xmlns:c16="http://schemas.microsoft.com/office/drawing/2014/chart" uri="{C3380CC4-5D6E-409C-BE32-E72D297353CC}">
              <c16:uniqueId val="{00000000-1745-40BE-B1D0-2F3F7271AE75}"/>
            </c:ext>
          </c:extLst>
        </c:ser>
        <c:dLbls>
          <c:dLblPos val="outEnd"/>
          <c:showLegendKey val="0"/>
          <c:showVal val="1"/>
          <c:showCatName val="0"/>
          <c:showSerName val="0"/>
          <c:showPercent val="0"/>
          <c:showBubbleSize val="0"/>
        </c:dLbls>
        <c:gapWidth val="150"/>
        <c:axId val="970083360"/>
        <c:axId val="970081696"/>
      </c:barChart>
      <c:catAx>
        <c:axId val="97008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81696"/>
        <c:crosses val="autoZero"/>
        <c:auto val="1"/>
        <c:lblAlgn val="ctr"/>
        <c:lblOffset val="100"/>
        <c:noMultiLvlLbl val="0"/>
      </c:catAx>
      <c:valAx>
        <c:axId val="9700816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8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1.xlsx]clustered bar chart!PivotTable2</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i="1">
                <a:solidFill>
                  <a:schemeClr val="tx1"/>
                </a:solidFill>
              </a:rPr>
              <a:t>region</a:t>
            </a:r>
            <a:r>
              <a:rPr lang="en-IN" i="1" baseline="0">
                <a:solidFill>
                  <a:schemeClr val="tx1"/>
                </a:solidFill>
              </a:rPr>
              <a:t> by sales &amp; profit</a:t>
            </a:r>
            <a:endParaRPr lang="en-IN" i="1">
              <a:solidFill>
                <a:schemeClr val="tx1"/>
              </a:solidFill>
            </a:endParaRPr>
          </a:p>
        </c:rich>
      </c:tx>
      <c:layout>
        <c:manualLayout>
          <c:xMode val="edge"/>
          <c:yMode val="edge"/>
          <c:x val="0.26245709670906525"/>
          <c:y val="1.9305438059911799E-4"/>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670158506353164"/>
          <c:y val="0.10551994533741134"/>
          <c:w val="0.56933787417677084"/>
          <c:h val="0.67199665684247567"/>
        </c:manualLayout>
      </c:layout>
      <c:bar3DChart>
        <c:barDir val="bar"/>
        <c:grouping val="clustered"/>
        <c:varyColors val="0"/>
        <c:ser>
          <c:idx val="0"/>
          <c:order val="0"/>
          <c:tx>
            <c:strRef>
              <c:f>'clustered bar chart'!$B$3</c:f>
              <c:strCache>
                <c:ptCount val="1"/>
                <c:pt idx="0">
                  <c:v>Sum of Sales</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chart'!$B$4:$B$8</c:f>
              <c:numCache>
                <c:formatCode>0</c:formatCode>
                <c:ptCount val="4"/>
                <c:pt idx="0">
                  <c:v>4877.7361999999994</c:v>
                </c:pt>
                <c:pt idx="1">
                  <c:v>5269.0520000000006</c:v>
                </c:pt>
                <c:pt idx="2">
                  <c:v>3890.4974999999999</c:v>
                </c:pt>
                <c:pt idx="3">
                  <c:v>7402.6219999999994</c:v>
                </c:pt>
              </c:numCache>
            </c:numRef>
          </c:val>
          <c:extLst>
            <c:ext xmlns:c16="http://schemas.microsoft.com/office/drawing/2014/chart" uri="{C3380CC4-5D6E-409C-BE32-E72D297353CC}">
              <c16:uniqueId val="{00000000-12EB-47D5-AAFE-7E416BB926C1}"/>
            </c:ext>
          </c:extLst>
        </c:ser>
        <c:ser>
          <c:idx val="1"/>
          <c:order val="1"/>
          <c:tx>
            <c:strRef>
              <c:f>'clustered bar chart'!$C$3</c:f>
              <c:strCache>
                <c:ptCount val="1"/>
                <c:pt idx="0">
                  <c:v>Sum of Profit</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chart'!$C$4:$C$8</c:f>
              <c:numCache>
                <c:formatCode>0</c:formatCode>
                <c:ptCount val="4"/>
                <c:pt idx="0">
                  <c:v>43.44019999999977</c:v>
                </c:pt>
                <c:pt idx="1">
                  <c:v>-1188.4077</c:v>
                </c:pt>
                <c:pt idx="2">
                  <c:v>-39.463300000000118</c:v>
                </c:pt>
                <c:pt idx="3">
                  <c:v>1059.9216999999999</c:v>
                </c:pt>
              </c:numCache>
            </c:numRef>
          </c:val>
          <c:extLst>
            <c:ext xmlns:c16="http://schemas.microsoft.com/office/drawing/2014/chart" uri="{C3380CC4-5D6E-409C-BE32-E72D297353CC}">
              <c16:uniqueId val="{00000001-12EB-47D5-AAFE-7E416BB926C1}"/>
            </c:ext>
          </c:extLst>
        </c:ser>
        <c:dLbls>
          <c:showLegendKey val="0"/>
          <c:showVal val="1"/>
          <c:showCatName val="0"/>
          <c:showSerName val="0"/>
          <c:showPercent val="0"/>
          <c:showBubbleSize val="0"/>
        </c:dLbls>
        <c:gapWidth val="150"/>
        <c:gapDepth val="0"/>
        <c:shape val="box"/>
        <c:axId val="970055904"/>
        <c:axId val="970054656"/>
        <c:axId val="0"/>
      </c:bar3DChart>
      <c:catAx>
        <c:axId val="97005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4656"/>
        <c:crosses val="autoZero"/>
        <c:auto val="1"/>
        <c:lblAlgn val="ctr"/>
        <c:lblOffset val="100"/>
        <c:noMultiLvlLbl val="0"/>
      </c:catAx>
      <c:valAx>
        <c:axId val="970054656"/>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590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1.xlsx]pie chart!PivotTable4</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p>
        </c:rich>
      </c:tx>
      <c:layout>
        <c:manualLayout>
          <c:xMode val="edge"/>
          <c:yMode val="edge"/>
          <c:x val="0.31579742999625238"/>
          <c:y val="2.1346360557885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1"/>
          <c:showVal val="1"/>
          <c:showCatName val="1"/>
          <c:showSerName val="1"/>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3"/>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4"/>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21765021002848"/>
          <c:y val="0.11403055774188871"/>
          <c:w val="0.44915728033610691"/>
          <c:h val="0.88596944225811125"/>
        </c:manualLayout>
      </c:layout>
      <c:pie3DChart>
        <c:varyColors val="1"/>
        <c:ser>
          <c:idx val="0"/>
          <c:order val="0"/>
          <c:tx>
            <c:strRef>
              <c:f>'pie chart'!$B$3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ED6-46D4-BAC4-46706B533A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ED6-46D4-BAC4-46706B533A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ED6-46D4-BAC4-46706B533A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chart'!$B$4:$B$7</c:f>
              <c:numCache>
                <c:formatCode>0</c:formatCode>
                <c:ptCount val="3"/>
                <c:pt idx="0">
                  <c:v>14670.74349999999</c:v>
                </c:pt>
                <c:pt idx="1">
                  <c:v>4735.3140000000003</c:v>
                </c:pt>
                <c:pt idx="2">
                  <c:v>2033.8501999999999</c:v>
                </c:pt>
              </c:numCache>
            </c:numRef>
          </c:val>
          <c:extLst>
            <c:ext xmlns:c16="http://schemas.microsoft.com/office/drawing/2014/chart" uri="{C3380CC4-5D6E-409C-BE32-E72D297353CC}">
              <c16:uniqueId val="{00000006-CED6-46D4-BAC4-46706B533AAC}"/>
            </c:ext>
          </c:extLst>
        </c:ser>
        <c:ser>
          <c:idx val="1"/>
          <c:order val="1"/>
          <c:tx>
            <c:strRef>
              <c:f>'pie chart'!$C$3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CED6-46D4-BAC4-46706B533AA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CED6-46D4-BAC4-46706B533AA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CED6-46D4-BAC4-46706B533AA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chart'!$C$4:$C$7</c:f>
              <c:numCache>
                <c:formatCode>0</c:formatCode>
                <c:ptCount val="3"/>
                <c:pt idx="0">
                  <c:v>-711.23400000000026</c:v>
                </c:pt>
                <c:pt idx="1">
                  <c:v>702.96969999999999</c:v>
                </c:pt>
                <c:pt idx="2">
                  <c:v>-116.24480000000008</c:v>
                </c:pt>
              </c:numCache>
            </c:numRef>
          </c:val>
          <c:extLst>
            <c:ext xmlns:c16="http://schemas.microsoft.com/office/drawing/2014/chart" uri="{C3380CC4-5D6E-409C-BE32-E72D297353CC}">
              <c16:uniqueId val="{0000000D-CED6-46D4-BAC4-46706B533AA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1.xlsx]pie chart!PivotTable4</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 of Sales</a:t>
            </a:r>
          </a:p>
        </c:rich>
      </c:tx>
      <c:layout>
        <c:manualLayout>
          <c:xMode val="edge"/>
          <c:yMode val="edge"/>
          <c:x val="0.31579742999625238"/>
          <c:y val="2.13463605578857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1"/>
          <c:showVal val="1"/>
          <c:showCatName val="1"/>
          <c:showSerName val="1"/>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3"/>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4"/>
        <c:dLbl>
          <c:idx val="0"/>
          <c:dLblPos val="outEnd"/>
          <c:showLegendKey val="1"/>
          <c:showVal val="1"/>
          <c:showCatName val="1"/>
          <c:showSerName val="1"/>
          <c:showPercent val="1"/>
          <c:showBubbleSize val="0"/>
          <c:extLst>
            <c:ext xmlns:c15="http://schemas.microsoft.com/office/drawing/2012/chart" uri="{CE6537A1-D6FC-4f65-9D91-7224C49458BB}">
              <c15:xForSave val="1"/>
            </c:ext>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6"/>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7"/>
        <c:dLbl>
          <c:idx val="0"/>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8"/>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21765021002848"/>
          <c:y val="0.11403055774188871"/>
          <c:w val="0.44915728033610691"/>
          <c:h val="0.88596944225811125"/>
        </c:manualLayout>
      </c:layout>
      <c:pie3DChart>
        <c:varyColors val="1"/>
        <c:ser>
          <c:idx val="0"/>
          <c:order val="0"/>
          <c:tx>
            <c:strRef>
              <c:f>'pie chart'!$B$3</c:f>
              <c:strCache>
                <c:ptCount val="1"/>
                <c:pt idx="0">
                  <c:v>Sum of Sales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917-4ABC-811F-6217D04163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917-4ABC-811F-6217D04163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917-4ABC-811F-6217D041638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1"/>
            <c:showVal val="0"/>
            <c:showCatName val="1"/>
            <c:showSerName val="1"/>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chart'!$B$4:$B$7</c:f>
              <c:numCache>
                <c:formatCode>0</c:formatCode>
                <c:ptCount val="3"/>
                <c:pt idx="0">
                  <c:v>14670.74349999999</c:v>
                </c:pt>
                <c:pt idx="1">
                  <c:v>4735.3140000000003</c:v>
                </c:pt>
                <c:pt idx="2">
                  <c:v>2033.8501999999999</c:v>
                </c:pt>
              </c:numCache>
            </c:numRef>
          </c:val>
          <c:extLst>
            <c:ext xmlns:c16="http://schemas.microsoft.com/office/drawing/2014/chart" uri="{C3380CC4-5D6E-409C-BE32-E72D297353CC}">
              <c16:uniqueId val="{00000006-1917-4ABC-811F-6217D0416383}"/>
            </c:ext>
          </c:extLst>
        </c:ser>
        <c:ser>
          <c:idx val="1"/>
          <c:order val="1"/>
          <c:tx>
            <c:strRef>
              <c:f>'pie chart'!$C$3</c:f>
              <c:strCache>
                <c:ptCount val="1"/>
                <c:pt idx="0">
                  <c:v>Sum of Profit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1917-4ABC-811F-6217D041638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1917-4ABC-811F-6217D041638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1917-4ABC-811F-6217D041638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chart'!$A$4:$A$7</c:f>
              <c:strCache>
                <c:ptCount val="3"/>
                <c:pt idx="0">
                  <c:v>Consumer</c:v>
                </c:pt>
                <c:pt idx="1">
                  <c:v>Corporate</c:v>
                </c:pt>
                <c:pt idx="2">
                  <c:v>Home Office</c:v>
                </c:pt>
              </c:strCache>
            </c:strRef>
          </c:cat>
          <c:val>
            <c:numRef>
              <c:f>'pie chart'!$C$4:$C$7</c:f>
              <c:numCache>
                <c:formatCode>0</c:formatCode>
                <c:ptCount val="3"/>
                <c:pt idx="0">
                  <c:v>-711.23400000000026</c:v>
                </c:pt>
                <c:pt idx="1">
                  <c:v>702.96969999999999</c:v>
                </c:pt>
                <c:pt idx="2">
                  <c:v>-116.24480000000008</c:v>
                </c:pt>
              </c:numCache>
            </c:numRef>
          </c:val>
          <c:extLst>
            <c:ext xmlns:c16="http://schemas.microsoft.com/office/drawing/2014/chart" uri="{C3380CC4-5D6E-409C-BE32-E72D297353CC}">
              <c16:uniqueId val="{0000000D-1917-4ABC-811F-6217D041638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project 1.xlsx]clustered bar chart!PivotTable2</c:name>
    <c:fmtId val="5"/>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i="1">
                <a:solidFill>
                  <a:schemeClr val="tx1"/>
                </a:solidFill>
              </a:rPr>
              <a:t>region</a:t>
            </a:r>
            <a:r>
              <a:rPr lang="en-IN" i="1" baseline="0">
                <a:solidFill>
                  <a:schemeClr val="tx1"/>
                </a:solidFill>
              </a:rPr>
              <a:t> by sales &amp; profit</a:t>
            </a:r>
            <a:endParaRPr lang="en-IN" i="1">
              <a:solidFill>
                <a:schemeClr val="tx1"/>
              </a:solidFill>
            </a:endParaRPr>
          </a:p>
        </c:rich>
      </c:tx>
      <c:layout>
        <c:manualLayout>
          <c:xMode val="edge"/>
          <c:yMode val="edge"/>
          <c:x val="0.26245709670906525"/>
          <c:y val="1.9305438059911799E-4"/>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670158506353164"/>
          <c:y val="0.10551994533741134"/>
          <c:w val="0.56933787417677084"/>
          <c:h val="0.67199665684247567"/>
        </c:manualLayout>
      </c:layout>
      <c:bar3DChart>
        <c:barDir val="bar"/>
        <c:grouping val="clustered"/>
        <c:varyColors val="0"/>
        <c:ser>
          <c:idx val="0"/>
          <c:order val="0"/>
          <c:tx>
            <c:strRef>
              <c:f>'clustered bar chart'!$B$3</c:f>
              <c:strCache>
                <c:ptCount val="1"/>
                <c:pt idx="0">
                  <c:v>Sum of Sales</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chart'!$B$4:$B$8</c:f>
              <c:numCache>
                <c:formatCode>0</c:formatCode>
                <c:ptCount val="4"/>
                <c:pt idx="0">
                  <c:v>4877.7361999999994</c:v>
                </c:pt>
                <c:pt idx="1">
                  <c:v>5269.0520000000006</c:v>
                </c:pt>
                <c:pt idx="2">
                  <c:v>3890.4974999999999</c:v>
                </c:pt>
                <c:pt idx="3">
                  <c:v>7402.6219999999994</c:v>
                </c:pt>
              </c:numCache>
            </c:numRef>
          </c:val>
          <c:extLst>
            <c:ext xmlns:c16="http://schemas.microsoft.com/office/drawing/2014/chart" uri="{C3380CC4-5D6E-409C-BE32-E72D297353CC}">
              <c16:uniqueId val="{00000000-B477-4A2A-822A-A6E095F4B63C}"/>
            </c:ext>
          </c:extLst>
        </c:ser>
        <c:ser>
          <c:idx val="1"/>
          <c:order val="1"/>
          <c:tx>
            <c:strRef>
              <c:f>'clustered bar chart'!$C$3</c:f>
              <c:strCache>
                <c:ptCount val="1"/>
                <c:pt idx="0">
                  <c:v>Sum of Profit</c:v>
                </c:pt>
              </c:strCache>
            </c:strRef>
          </c:tx>
          <c:spPr>
            <a:gradFill flip="none" rotWithShape="1">
              <a:gsLst>
                <a:gs pos="100000">
                  <a:schemeClr val="accent2">
                    <a:alpha val="0"/>
                  </a:schemeClr>
                </a:gs>
                <a:gs pos="50000">
                  <a:schemeClr val="accent2"/>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'clustered bar chart'!$A$4:$A$8</c:f>
              <c:strCache>
                <c:ptCount val="4"/>
                <c:pt idx="0">
                  <c:v>Central</c:v>
                </c:pt>
                <c:pt idx="1">
                  <c:v>East</c:v>
                </c:pt>
                <c:pt idx="2">
                  <c:v>South</c:v>
                </c:pt>
                <c:pt idx="3">
                  <c:v>West</c:v>
                </c:pt>
              </c:strCache>
            </c:strRef>
          </c:cat>
          <c:val>
            <c:numRef>
              <c:f>'clustered bar chart'!$C$4:$C$8</c:f>
              <c:numCache>
                <c:formatCode>0</c:formatCode>
                <c:ptCount val="4"/>
                <c:pt idx="0">
                  <c:v>43.44019999999977</c:v>
                </c:pt>
                <c:pt idx="1">
                  <c:v>-1188.4077</c:v>
                </c:pt>
                <c:pt idx="2">
                  <c:v>-39.463300000000118</c:v>
                </c:pt>
                <c:pt idx="3">
                  <c:v>1059.9216999999999</c:v>
                </c:pt>
              </c:numCache>
            </c:numRef>
          </c:val>
          <c:extLst>
            <c:ext xmlns:c16="http://schemas.microsoft.com/office/drawing/2014/chart" uri="{C3380CC4-5D6E-409C-BE32-E72D297353CC}">
              <c16:uniqueId val="{00000001-B477-4A2A-822A-A6E095F4B63C}"/>
            </c:ext>
          </c:extLst>
        </c:ser>
        <c:dLbls>
          <c:showLegendKey val="0"/>
          <c:showVal val="1"/>
          <c:showCatName val="0"/>
          <c:showSerName val="0"/>
          <c:showPercent val="0"/>
          <c:showBubbleSize val="0"/>
        </c:dLbls>
        <c:gapWidth val="150"/>
        <c:gapDepth val="0"/>
        <c:shape val="box"/>
        <c:axId val="970055904"/>
        <c:axId val="970054656"/>
        <c:axId val="0"/>
      </c:bar3DChart>
      <c:catAx>
        <c:axId val="9700559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4656"/>
        <c:crosses val="autoZero"/>
        <c:auto val="1"/>
        <c:lblAlgn val="ctr"/>
        <c:lblOffset val="100"/>
        <c:noMultiLvlLbl val="0"/>
      </c:catAx>
      <c:valAx>
        <c:axId val="970054656"/>
        <c:scaling>
          <c:orientation val="minMax"/>
        </c:scaling>
        <c:delete val="0"/>
        <c:axPos val="b"/>
        <c:majorGridlines>
          <c:spPr>
            <a:ln w="9525" cap="flat" cmpd="sng" algn="ctr">
              <a:solidFill>
                <a:schemeClr val="tx1">
                  <a:lumMod val="5000"/>
                  <a:lumOff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05590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134511</xdr:colOff>
      <xdr:row>2</xdr:row>
      <xdr:rowOff>74021</xdr:rowOff>
    </xdr:from>
    <xdr:to>
      <xdr:col>9</xdr:col>
      <xdr:colOff>189583</xdr:colOff>
      <xdr:row>17</xdr:row>
      <xdr:rowOff>74021</xdr:rowOff>
    </xdr:to>
    <xdr:graphicFrame macro="">
      <xdr:nvGraphicFramePr>
        <xdr:cNvPr id="2" name="Chart 1">
          <a:extLst>
            <a:ext uri="{FF2B5EF4-FFF2-40B4-BE49-F238E27FC236}">
              <a16:creationId xmlns:a16="http://schemas.microsoft.com/office/drawing/2014/main" id="{5B5C9B95-5CC7-459D-BD19-7E581EBBE0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109196</xdr:colOff>
      <xdr:row>17</xdr:row>
      <xdr:rowOff>126524</xdr:rowOff>
    </xdr:from>
    <xdr:to>
      <xdr:col>9</xdr:col>
      <xdr:colOff>165308</xdr:colOff>
      <xdr:row>32</xdr:row>
      <xdr:rowOff>126524</xdr:rowOff>
    </xdr:to>
    <xdr:graphicFrame macro="">
      <xdr:nvGraphicFramePr>
        <xdr:cNvPr id="3" name="Chart 2">
          <a:extLst>
            <a:ext uri="{FF2B5EF4-FFF2-40B4-BE49-F238E27FC236}">
              <a16:creationId xmlns:a16="http://schemas.microsoft.com/office/drawing/2014/main" id="{9906521E-421C-44E1-9AFC-B41D6CCCC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267514</xdr:colOff>
      <xdr:row>2</xdr:row>
      <xdr:rowOff>67439</xdr:rowOff>
    </xdr:from>
    <xdr:to>
      <xdr:col>16</xdr:col>
      <xdr:colOff>600023</xdr:colOff>
      <xdr:row>17</xdr:row>
      <xdr:rowOff>83025</xdr:rowOff>
    </xdr:to>
    <xdr:graphicFrame macro="">
      <xdr:nvGraphicFramePr>
        <xdr:cNvPr id="4" name="Chart 3">
          <a:extLst>
            <a:ext uri="{FF2B5EF4-FFF2-40B4-BE49-F238E27FC236}">
              <a16:creationId xmlns:a16="http://schemas.microsoft.com/office/drawing/2014/main" id="{9305099E-555D-4210-8C60-93B68CEF65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267210</xdr:colOff>
      <xdr:row>17</xdr:row>
      <xdr:rowOff>134469</xdr:rowOff>
    </xdr:from>
    <xdr:to>
      <xdr:col>16</xdr:col>
      <xdr:colOff>599719</xdr:colOff>
      <xdr:row>32</xdr:row>
      <xdr:rowOff>150056</xdr:rowOff>
    </xdr:to>
    <xdr:graphicFrame macro="">
      <xdr:nvGraphicFramePr>
        <xdr:cNvPr id="5" name="Chart 4">
          <a:extLst>
            <a:ext uri="{FF2B5EF4-FFF2-40B4-BE49-F238E27FC236}">
              <a16:creationId xmlns:a16="http://schemas.microsoft.com/office/drawing/2014/main" id="{24944F7C-5990-47F0-BE19-26ABFA573E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103909</xdr:colOff>
      <xdr:row>19</xdr:row>
      <xdr:rowOff>25978</xdr:rowOff>
    </xdr:from>
    <xdr:to>
      <xdr:col>20</xdr:col>
      <xdr:colOff>114300</xdr:colOff>
      <xdr:row>28</xdr:row>
      <xdr:rowOff>121228</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ACC4D02-9E23-428D-8AB3-BD12D9EFEC7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437999" y="3527753"/>
              <a:ext cx="1834054" cy="1713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86591</xdr:colOff>
      <xdr:row>11</xdr:row>
      <xdr:rowOff>0</xdr:rowOff>
    </xdr:from>
    <xdr:to>
      <xdr:col>20</xdr:col>
      <xdr:colOff>96982</xdr:colOff>
      <xdr:row>18</xdr:row>
      <xdr:rowOff>34637</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B5DE6D6F-D09A-4712-A8D5-4881EB05AEF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420681" y="2063393"/>
              <a:ext cx="1834054" cy="1293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86591</xdr:colOff>
      <xdr:row>0</xdr:row>
      <xdr:rowOff>173183</xdr:rowOff>
    </xdr:from>
    <xdr:to>
      <xdr:col>20</xdr:col>
      <xdr:colOff>96982</xdr:colOff>
      <xdr:row>9</xdr:row>
      <xdr:rowOff>124285</xdr:rowOff>
    </xdr:to>
    <mc:AlternateContent xmlns:mc="http://schemas.openxmlformats.org/markup-compatibility/2006" xmlns:a14="http://schemas.microsoft.com/office/drawing/2010/main">
      <mc:Choice Requires="a14">
        <xdr:graphicFrame macro="">
          <xdr:nvGraphicFramePr>
            <xdr:cNvPr id="11" name="Ship Mode">
              <a:extLst>
                <a:ext uri="{FF2B5EF4-FFF2-40B4-BE49-F238E27FC236}">
                  <a16:creationId xmlns:a16="http://schemas.microsoft.com/office/drawing/2014/main" id="{38774AE8-B067-4B71-8EBB-011C4D98659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420681" y="173183"/>
              <a:ext cx="1834054" cy="1654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43118</xdr:colOff>
      <xdr:row>1</xdr:row>
      <xdr:rowOff>180651</xdr:rowOff>
    </xdr:from>
    <xdr:to>
      <xdr:col>15</xdr:col>
      <xdr:colOff>53340</xdr:colOff>
      <xdr:row>20</xdr:row>
      <xdr:rowOff>121920</xdr:rowOff>
    </xdr:to>
    <xdr:graphicFrame macro="">
      <xdr:nvGraphicFramePr>
        <xdr:cNvPr id="3" name="Chart 2">
          <a:extLst>
            <a:ext uri="{FF2B5EF4-FFF2-40B4-BE49-F238E27FC236}">
              <a16:creationId xmlns:a16="http://schemas.microsoft.com/office/drawing/2014/main" id="{4FA39A6D-FE91-43AC-B4B6-E3D721BDD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243840</xdr:colOff>
      <xdr:row>0</xdr:row>
      <xdr:rowOff>0</xdr:rowOff>
    </xdr:from>
    <xdr:to>
      <xdr:col>15</xdr:col>
      <xdr:colOff>243840</xdr:colOff>
      <xdr:row>7</xdr:row>
      <xdr:rowOff>144780</xdr:rowOff>
    </xdr:to>
    <mc:AlternateContent xmlns:mc="http://schemas.openxmlformats.org/markup-compatibility/2006" xmlns:a14="http://schemas.microsoft.com/office/drawing/2010/main">
      <mc:Choice Requires="a14">
        <xdr:graphicFrame macro="">
          <xdr:nvGraphicFramePr>
            <xdr:cNvPr id="2" name="Years">
              <a:extLst>
                <a:ext uri="{FF2B5EF4-FFF2-40B4-BE49-F238E27FC236}">
                  <a16:creationId xmlns:a16="http://schemas.microsoft.com/office/drawing/2014/main" id="{6F358625-E53F-4F29-8B30-EBCB226FFC8E}"/>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8001000" y="0"/>
              <a:ext cx="1828800" cy="1424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127784</xdr:colOff>
      <xdr:row>6</xdr:row>
      <xdr:rowOff>50184</xdr:rowOff>
    </xdr:from>
    <xdr:to>
      <xdr:col>9</xdr:col>
      <xdr:colOff>403859</xdr:colOff>
      <xdr:row>29</xdr:row>
      <xdr:rowOff>45720</xdr:rowOff>
    </xdr:to>
    <xdr:graphicFrame macro="">
      <xdr:nvGraphicFramePr>
        <xdr:cNvPr id="4" name="Chart 3">
          <a:extLst>
            <a:ext uri="{FF2B5EF4-FFF2-40B4-BE49-F238E27FC236}">
              <a16:creationId xmlns:a16="http://schemas.microsoft.com/office/drawing/2014/main" id="{4F0F7343-108D-4FDF-8D7C-392B924B2A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39074</xdr:colOff>
      <xdr:row>0</xdr:row>
      <xdr:rowOff>171573</xdr:rowOff>
    </xdr:from>
    <xdr:to>
      <xdr:col>14</xdr:col>
      <xdr:colOff>99060</xdr:colOff>
      <xdr:row>21</xdr:row>
      <xdr:rowOff>144780</xdr:rowOff>
    </xdr:to>
    <xdr:graphicFrame macro="">
      <xdr:nvGraphicFramePr>
        <xdr:cNvPr id="2" name="Chart 1">
          <a:extLst>
            <a:ext uri="{FF2B5EF4-FFF2-40B4-BE49-F238E27FC236}">
              <a16:creationId xmlns:a16="http://schemas.microsoft.com/office/drawing/2014/main" id="{662AA387-2F8F-429F-A2DE-611FDFD96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137160</xdr:colOff>
      <xdr:row>1</xdr:row>
      <xdr:rowOff>30481</xdr:rowOff>
    </xdr:from>
    <xdr:to>
      <xdr:col>17</xdr:col>
      <xdr:colOff>137160</xdr:colOff>
      <xdr:row>7</xdr:row>
      <xdr:rowOff>129541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5E77F735-D61D-4868-AFBE-601A6E62F7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19260" y="21336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678180</xdr:colOff>
      <xdr:row>8</xdr:row>
      <xdr:rowOff>45720</xdr:rowOff>
    </xdr:from>
    <xdr:to>
      <xdr:col>3</xdr:col>
      <xdr:colOff>15240</xdr:colOff>
      <xdr:row>20</xdr:row>
      <xdr:rowOff>83819</xdr:rowOff>
    </xdr:to>
    <mc:AlternateContent xmlns:mc="http://schemas.openxmlformats.org/markup-compatibility/2006" xmlns:a14="http://schemas.microsoft.com/office/drawing/2010/main">
      <mc:Choice Requires="a14">
        <xdr:graphicFrame macro="">
          <xdr:nvGraphicFramePr>
            <xdr:cNvPr id="3" name="Region 4">
              <a:extLst>
                <a:ext uri="{FF2B5EF4-FFF2-40B4-BE49-F238E27FC236}">
                  <a16:creationId xmlns:a16="http://schemas.microsoft.com/office/drawing/2014/main" id="{7BC358B6-178E-4602-B09B-41474D916C5D}"/>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78180" y="1508760"/>
              <a:ext cx="1828800" cy="2232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xdr:colOff>
      <xdr:row>2</xdr:row>
      <xdr:rowOff>7620</xdr:rowOff>
    </xdr:from>
    <xdr:to>
      <xdr:col>12</xdr:col>
      <xdr:colOff>594360</xdr:colOff>
      <xdr:row>22</xdr:row>
      <xdr:rowOff>38100</xdr:rowOff>
    </xdr:to>
    <xdr:graphicFrame macro="">
      <xdr:nvGraphicFramePr>
        <xdr:cNvPr id="5" name="Chart 4">
          <a:extLst>
            <a:ext uri="{FF2B5EF4-FFF2-40B4-BE49-F238E27FC236}">
              <a16:creationId xmlns:a16="http://schemas.microsoft.com/office/drawing/2014/main" id="{34D8D35E-C72B-4FCF-8DE2-3E4695386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617220</xdr:colOff>
      <xdr:row>7</xdr:row>
      <xdr:rowOff>76201</xdr:rowOff>
    </xdr:from>
    <xdr:to>
      <xdr:col>2</xdr:col>
      <xdr:colOff>784860</xdr:colOff>
      <xdr:row>14</xdr:row>
      <xdr:rowOff>114301</xdr:rowOff>
    </xdr:to>
    <mc:AlternateContent xmlns:mc="http://schemas.openxmlformats.org/markup-compatibility/2006" xmlns:a14="http://schemas.microsoft.com/office/drawing/2010/main">
      <mc:Choice Requires="a14">
        <xdr:graphicFrame macro="">
          <xdr:nvGraphicFramePr>
            <xdr:cNvPr id="3" name="Segment 1">
              <a:extLst>
                <a:ext uri="{FF2B5EF4-FFF2-40B4-BE49-F238E27FC236}">
                  <a16:creationId xmlns:a16="http://schemas.microsoft.com/office/drawing/2014/main" id="{F06E9C62-20A5-45F9-8321-2B6B5824B17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617220" y="1356361"/>
              <a:ext cx="1828800" cy="1318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xdr:colOff>
      <xdr:row>1</xdr:row>
      <xdr:rowOff>160020</xdr:rowOff>
    </xdr:from>
    <xdr:to>
      <xdr:col>11</xdr:col>
      <xdr:colOff>414431</xdr:colOff>
      <xdr:row>21</xdr:row>
      <xdr:rowOff>168215</xdr:rowOff>
    </xdr:to>
    <xdr:graphicFrame macro="">
      <xdr:nvGraphicFramePr>
        <xdr:cNvPr id="5" name="Chart 4">
          <a:extLst>
            <a:ext uri="{FF2B5EF4-FFF2-40B4-BE49-F238E27FC236}">
              <a16:creationId xmlns:a16="http://schemas.microsoft.com/office/drawing/2014/main" id="{05F57395-1101-4AB1-87CF-BCF9C6D609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xdr:row>
      <xdr:rowOff>45720</xdr:rowOff>
    </xdr:from>
    <xdr:to>
      <xdr:col>8</xdr:col>
      <xdr:colOff>368711</xdr:colOff>
      <xdr:row>23</xdr:row>
      <xdr:rowOff>53915</xdr:rowOff>
    </xdr:to>
    <xdr:graphicFrame macro="">
      <xdr:nvGraphicFramePr>
        <xdr:cNvPr id="2" name="Chart 1">
          <a:extLst>
            <a:ext uri="{FF2B5EF4-FFF2-40B4-BE49-F238E27FC236}">
              <a16:creationId xmlns:a16="http://schemas.microsoft.com/office/drawing/2014/main" id="{1F203C94-265A-4EC8-8F8E-672A87A70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373380</xdr:colOff>
      <xdr:row>3</xdr:row>
      <xdr:rowOff>53341</xdr:rowOff>
    </xdr:from>
    <xdr:to>
      <xdr:col>21</xdr:col>
      <xdr:colOff>373380</xdr:colOff>
      <xdr:row>9</xdr:row>
      <xdr:rowOff>175261</xdr:rowOff>
    </xdr:to>
    <mc:AlternateContent xmlns:mc="http://schemas.openxmlformats.org/markup-compatibility/2006" xmlns:a14="http://schemas.microsoft.com/office/drawing/2010/main">
      <mc:Choice Requires="a14">
        <xdr:graphicFrame macro="">
          <xdr:nvGraphicFramePr>
            <xdr:cNvPr id="3" name="Segment 2">
              <a:extLst>
                <a:ext uri="{FF2B5EF4-FFF2-40B4-BE49-F238E27FC236}">
                  <a16:creationId xmlns:a16="http://schemas.microsoft.com/office/drawing/2014/main" id="{2E5DE5F7-EABC-4372-B766-F6FA08C0A0E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346180" y="601981"/>
              <a:ext cx="18288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396240</xdr:colOff>
      <xdr:row>3</xdr:row>
      <xdr:rowOff>45720</xdr:rowOff>
    </xdr:from>
    <xdr:to>
      <xdr:col>18</xdr:col>
      <xdr:colOff>342900</xdr:colOff>
      <xdr:row>23</xdr:row>
      <xdr:rowOff>76200</xdr:rowOff>
    </xdr:to>
    <xdr:graphicFrame macro="">
      <xdr:nvGraphicFramePr>
        <xdr:cNvPr id="4" name="Chart 3">
          <a:extLst>
            <a:ext uri="{FF2B5EF4-FFF2-40B4-BE49-F238E27FC236}">
              <a16:creationId xmlns:a16="http://schemas.microsoft.com/office/drawing/2014/main" id="{ED159D42-2BF4-4BE7-BC15-86993893B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373380</xdr:colOff>
      <xdr:row>10</xdr:row>
      <xdr:rowOff>30481</xdr:rowOff>
    </xdr:from>
    <xdr:to>
      <xdr:col>21</xdr:col>
      <xdr:colOff>373380</xdr:colOff>
      <xdr:row>18</xdr:row>
      <xdr:rowOff>7621</xdr:rowOff>
    </xdr:to>
    <mc:AlternateContent xmlns:mc="http://schemas.openxmlformats.org/markup-compatibility/2006" xmlns:a14="http://schemas.microsoft.com/office/drawing/2010/main">
      <mc:Choice Requires="a14">
        <xdr:graphicFrame macro="">
          <xdr:nvGraphicFramePr>
            <xdr:cNvPr id="5" name="Region 5">
              <a:extLst>
                <a:ext uri="{FF2B5EF4-FFF2-40B4-BE49-F238E27FC236}">
                  <a16:creationId xmlns:a16="http://schemas.microsoft.com/office/drawing/2014/main" id="{D2523B8F-1BD4-4678-87BC-FA396383B6DF}"/>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11346180" y="1859281"/>
              <a:ext cx="1828800" cy="1440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16</xdr:col>
      <xdr:colOff>237586</xdr:colOff>
      <xdr:row>1</xdr:row>
      <xdr:rowOff>80905</xdr:rowOff>
    </xdr:from>
    <xdr:to>
      <xdr:col>18</xdr:col>
      <xdr:colOff>436383</xdr:colOff>
      <xdr:row>13</xdr:row>
      <xdr:rowOff>119005</xdr:rowOff>
    </xdr:to>
    <mc:AlternateContent xmlns:mc="http://schemas.openxmlformats.org/markup-compatibility/2006" xmlns:a14="http://schemas.microsoft.com/office/drawing/2010/main">
      <mc:Choice Requires="a14">
        <xdr:graphicFrame macro="">
          <xdr:nvGraphicFramePr>
            <xdr:cNvPr id="2" name="Region 2">
              <a:extLst>
                <a:ext uri="{FF2B5EF4-FFF2-40B4-BE49-F238E27FC236}">
                  <a16:creationId xmlns:a16="http://schemas.microsoft.com/office/drawing/2014/main" id="{0077C695-81DD-444D-85A3-6EF0DBCA20C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529971" y="266520"/>
              <a:ext cx="1840027" cy="2265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16</xdr:col>
      <xdr:colOff>94706</xdr:colOff>
      <xdr:row>0</xdr:row>
      <xdr:rowOff>105253</xdr:rowOff>
    </xdr:from>
    <xdr:to>
      <xdr:col>18</xdr:col>
      <xdr:colOff>918075</xdr:colOff>
      <xdr:row>10</xdr:row>
      <xdr:rowOff>39920</xdr:rowOff>
    </xdr:to>
    <mc:AlternateContent xmlns:mc="http://schemas.openxmlformats.org/markup-compatibility/2006" xmlns:a14="http://schemas.microsoft.com/office/drawing/2010/main">
      <mc:Choice Requires="a14">
        <xdr:graphicFrame macro="">
          <xdr:nvGraphicFramePr>
            <xdr:cNvPr id="2" name="Region 1">
              <a:extLst>
                <a:ext uri="{FF2B5EF4-FFF2-40B4-BE49-F238E27FC236}">
                  <a16:creationId xmlns:a16="http://schemas.microsoft.com/office/drawing/2014/main" id="{5DC208A6-374F-40FD-9DA7-FFE4C4833A88}"/>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4196188" y="105253"/>
              <a:ext cx="2463911" cy="17276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editAs="oneCell">
    <xdr:from>
      <xdr:col>16</xdr:col>
      <xdr:colOff>161321</xdr:colOff>
      <xdr:row>2</xdr:row>
      <xdr:rowOff>92928</xdr:rowOff>
    </xdr:from>
    <xdr:to>
      <xdr:col>18</xdr:col>
      <xdr:colOff>352193</xdr:colOff>
      <xdr:row>10</xdr:row>
      <xdr:rowOff>161507</xdr:rowOff>
    </xdr:to>
    <mc:AlternateContent xmlns:mc="http://schemas.openxmlformats.org/markup-compatibility/2006" xmlns:a14="http://schemas.microsoft.com/office/drawing/2010/main">
      <mc:Choice Requires="a14">
        <xdr:graphicFrame macro="">
          <xdr:nvGraphicFramePr>
            <xdr:cNvPr id="2" name="Region 3">
              <a:extLst>
                <a:ext uri="{FF2B5EF4-FFF2-40B4-BE49-F238E27FC236}">
                  <a16:creationId xmlns:a16="http://schemas.microsoft.com/office/drawing/2014/main" id="{76DD7C55-882F-41B4-A381-C354089EFF27}"/>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4815882" y="464635"/>
              <a:ext cx="1826384" cy="15554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nu pratap" refreshedDate="46026.955569791666" createdVersion="7" refreshedVersion="7" minRefreshableVersion="3" recordCount="99" xr:uid="{93C21473-1E34-493C-9CCE-5D5C5EE2E3F9}">
  <cacheSource type="worksheet">
    <worksheetSource ref="A1:U100" sheet="data of sales"/>
  </cacheSource>
  <cacheFields count="22">
    <cacheField name="Row ID" numFmtId="0">
      <sharedItems containsSemiMixedTypes="0" containsString="0" containsNumber="1" containsInteger="1" minValue="1" maxValue="99"/>
    </cacheField>
    <cacheField name="Order ID" numFmtId="0">
      <sharedItems count="49">
        <s v="CA-2016-152156"/>
        <s v="CA-2016-138688"/>
        <s v="US-2015-108966"/>
        <s v="CA-2014-115812"/>
        <s v="CA-2017-114412"/>
        <s v="CA-2016-161389"/>
        <s v="US-2015-118983"/>
        <s v="CA-2014-105893"/>
        <s v="CA-2014-167164"/>
        <s v="CA-2014-143336"/>
        <s v="CA-2016-137330"/>
        <s v="US-2017-156909"/>
        <s v="CA-2015-106320"/>
        <s v="CA-2016-121755"/>
        <s v="US-2015-150630"/>
        <s v="CA-2017-107727"/>
        <s v="CA-2016-117590"/>
        <s v="CA-2015-117415"/>
        <s v="CA-2017-120999"/>
        <s v="CA-2016-101343"/>
        <s v="CA-2017-139619"/>
        <s v="CA-2016-118255"/>
        <s v="CA-2014-146703"/>
        <s v="CA-2016-169194"/>
        <s v="CA-2015-115742"/>
        <s v="CA-2016-105816"/>
        <s v="CA-2016-111682"/>
        <s v="CA-2015-135545"/>
        <s v="US-2015-164175"/>
        <s v="CA-2014-106376"/>
        <s v="CA-2016-119823"/>
        <s v="CA-2016-106075"/>
        <s v="CA-2017-114440"/>
        <s v="US-2015-134026"/>
        <s v="US-2017-118038"/>
        <s v="US-2014-147606"/>
        <s v="CA-2016-127208"/>
        <s v="CA-2014-139451"/>
        <s v="CA-2015-149734"/>
        <s v="US-2017-119662"/>
        <s v="CA-2017-140088"/>
        <s v="CA-2017-155558"/>
        <s v="CA-2016-159695"/>
        <s v="CA-2016-109806"/>
        <s v="CA-2015-149587"/>
        <s v="US-2017-109484"/>
        <s v="CA-2017-161018"/>
        <s v="CA-2017-157833"/>
        <s v="CA-2016-149223"/>
      </sharedItems>
    </cacheField>
    <cacheField name="Order Date" numFmtId="14">
      <sharedItems containsSemiMixedTypes="0" containsNonDate="0" containsDate="1" containsString="0" minDate="2014-05-13T00:00:00" maxDate="2017-12-10T00:00:00" count="48">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sharedItems>
      <fieldGroup par="21" base="2">
        <rangePr groupBy="quarters" startDate="2014-05-13T00:00:00" endDate="2017-12-10T00:00:00"/>
        <groupItems count="6">
          <s v="&lt;13-05-2014"/>
          <s v="Qtr1"/>
          <s v="Qtr2"/>
          <s v="Qtr3"/>
          <s v="Qtr4"/>
          <s v="&gt;10-12-2017"/>
        </groupItems>
      </fieldGroup>
    </cacheField>
    <cacheField name="Ship Date" numFmtId="14">
      <sharedItems containsSemiMixedTypes="0" containsNonDate="0" containsDate="1" containsString="0" minDate="2014-05-15T00:00:00" maxDate="2017-12-12T00:00:00" count="48">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sharedItems>
    </cacheField>
    <cacheField name="Ship Mode" numFmtId="0">
      <sharedItems count="3">
        <s v="Second Class"/>
        <s v="Standard Class"/>
        <s v="First Class"/>
      </sharedItems>
    </cacheField>
    <cacheField name="Customer ID" numFmtId="0">
      <sharedItems/>
    </cacheField>
    <cacheField name="Customer Name" numFmtId="0">
      <sharedItems count="46">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22">
        <s v="Kentucky"/>
        <s v="California"/>
        <s v="Florida"/>
        <s v="North Carolina"/>
        <s v="Washington"/>
        <s v="Texas"/>
        <s v="Wisconsin"/>
        <s v="Utah"/>
        <s v="Nebraska"/>
        <s v="Pennsylvania"/>
        <s v="Illinois"/>
        <s v="Minnesota"/>
        <s v="Michigan"/>
        <s v="Delaware"/>
        <s v="Indiana"/>
        <s v="New York"/>
        <s v="Arizona"/>
        <s v="Virginia"/>
        <s v="Tennessee"/>
        <s v="Alabama"/>
        <s v="South Carolina"/>
        <s v="Oregon"/>
      </sharedItems>
    </cacheField>
    <cacheField name="Postal Code" numFmtId="0">
      <sharedItems containsSemiMixedTypes="0" containsString="0" containsNumber="1" containsInteger="1" minValue="10009" maxValue="98103"/>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4">
        <s v="Bookcases"/>
        <s v="Chairs"/>
        <s v="Labels"/>
        <s v="Tables"/>
        <s v="Storage"/>
        <s v="Furnishings"/>
        <s v="Art"/>
        <s v="Phones"/>
        <s v="Binders"/>
        <s v="Appliances"/>
        <s v="Paper"/>
        <s v="Accessories"/>
        <s v="Envelopes"/>
        <s v="Fasteners"/>
      </sharedItems>
    </cacheField>
    <cacheField name="Product Name" numFmtId="0">
      <sharedItems/>
    </cacheField>
    <cacheField name="Sales" numFmtId="44">
      <sharedItems containsSemiMixedTypes="0" containsString="0" containsNumber="1" minValue="1.2479999999999998" maxValue="3083.4300000000003" count="97">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sharedItems>
    </cacheField>
    <cacheField name="Quantity" numFmtId="0">
      <sharedItems containsSemiMixedTypes="0" containsString="0" containsNumber="1" containsInteger="1" minValue="1" maxValue="9"/>
    </cacheField>
    <cacheField name="Discount" numFmtId="164">
      <sharedItems containsSemiMixedTypes="0" containsString="0" containsNumber="1" minValue="0" maxValue="0.8"/>
    </cacheField>
    <cacheField name="Profit" numFmtId="164">
      <sharedItems containsSemiMixedTypes="0" containsString="0" containsNumber="1" minValue="-1665.0522000000001" maxValue="298.68549999999999" count="98">
        <n v="41.913600000000002"/>
        <n v="219.58199999999997"/>
        <n v="6.8713999999999995"/>
        <n v="-383.03100000000006"/>
        <n v="2.5163999999999991"/>
        <n v="14.169399999999996"/>
        <n v="1.9656000000000002"/>
        <n v="90.715200000000038"/>
        <n v="5.7824999999999998"/>
        <n v="34.469999999999992"/>
        <n v="85.309199999999805"/>
        <n v="68.356800000000021"/>
        <n v="5.4432"/>
        <n v="132.59219999999993"/>
        <n v="-123.858"/>
        <n v="-3.8160000000000016"/>
        <n v="13.317599999999999"/>
        <n v="9.9899999999999949"/>
        <n v="2.4823999999999993"/>
        <n v="16.010999999999981"/>
        <n v="7.3839999999999986"/>
        <n v="5.0595999999999997"/>
        <n v="15.688400000000001"/>
        <n v="-1.0196000000000005"/>
        <n v="240.26490000000001"/>
        <n v="4.2224000000000004"/>
        <n v="11.774100000000004"/>
        <n v="-1665.0522000000001"/>
        <n v="-7.0532000000000004"/>
        <n v="15.524999999999991"/>
        <n v="1.1015999999999997"/>
        <n v="9.7091999999999885"/>
        <n v="-5.7149999999999999"/>
        <n v="3.5460000000000007"/>
        <n v="9.9467999999999979"/>
        <n v="123.47369999999989"/>
        <n v="-147.96300000000002"/>
        <n v="35.414999999999999"/>
        <n v="-46.976400000000012"/>
        <n v="-15.146999999999991"/>
        <n v="41.756399999999957"/>
        <n v="16.556399999999996"/>
        <n v="3.8939999999999912"/>
        <n v="9.5616000000000092"/>
        <n v="19.7714"/>
        <n v="8.2061999999999991"/>
        <n v="8.4783999999999935"/>
        <n v="4.9500000000000011"/>
        <n v="6.104000000000001"/>
        <n v="17.9634"/>
        <n v="35.334599999999995"/>
        <n v="2.9567999999999999"/>
        <n v="17.098099999999988"/>
        <n v="6.2566000000000006"/>
        <n v="298.68549999999999"/>
        <n v="52.139999999999986"/>
        <n v="15.552000000000001"/>
        <n v="7.0980000000000061"/>
        <n v="6.9888000000000003"/>
        <n v="3.3000000000000007"/>
        <n v="16.361999999999998"/>
        <n v="0.84"/>
        <n v="6.1512000000000011"/>
        <n v="9.3612000000000002"/>
        <n v="68.963099999999997"/>
        <n v="22.332800000000006"/>
        <n v="-15.222500000000011"/>
        <n v="111.30239999999998"/>
        <n v="62.988"/>
        <n v="35.663599999999995"/>
        <n v="1.7309999999999999"/>
        <n v="8.7629999999999999"/>
        <n v="-114.39120000000003"/>
        <n v="1.2129999999999974"/>
        <n v="-18.196000000000002"/>
        <n v="-1.9344000000000006"/>
        <n v="-5.8248000000000015"/>
        <n v="2.724000000000002"/>
        <n v="-14.475000000000001"/>
        <n v="56.20320000000001"/>
        <n v="8.0351999999999997"/>
        <n v="4.1720000000000006"/>
        <n v="6.2030999999999992"/>
        <n v="62.807499999999976"/>
        <n v="-48.954900000000002"/>
        <n v="33.215599999999995"/>
        <n v="6.796599999999998"/>
        <n v="13.857199999999999"/>
        <n v="6.6329999999999982"/>
        <n v="8.2781999999999982"/>
        <n v="3.1104000000000003"/>
        <n v="6.2208000000000006"/>
        <n v="16.535399999999996"/>
        <n v="16.150400000000001"/>
        <n v="-3.7880000000000003"/>
        <n v="40.5426"/>
        <n v="17.959199999999999"/>
        <n v="22.585199999999993"/>
      </sharedItems>
    </cacheField>
    <cacheField name="Years" numFmtId="0" databaseField="0">
      <fieldGroup base="2">
        <rangePr groupBy="years" startDate="2014-05-13T00:00:00" endDate="2017-12-10T00:00:00"/>
        <groupItems count="6">
          <s v="&lt;13-05-2014"/>
          <s v="2014"/>
          <s v="2015"/>
          <s v="2016"/>
          <s v="2017"/>
          <s v="&gt;10-12-2017"/>
        </groupItems>
      </fieldGroup>
    </cacheField>
  </cacheFields>
  <extLst>
    <ext xmlns:x14="http://schemas.microsoft.com/office/spreadsheetml/2009/9/main" uri="{725AE2AE-9491-48be-B2B4-4EB974FC3084}">
      <x14:pivotCacheDefinition pivotCacheId="1587065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x v="0"/>
    <x v="0"/>
    <x v="0"/>
    <x v="0"/>
    <s v="CG-12520"/>
    <x v="0"/>
    <x v="0"/>
    <s v="United States"/>
    <s v="Henderson"/>
    <x v="0"/>
    <n v="42420"/>
    <x v="0"/>
    <s v="FUR-BO-10001798"/>
    <x v="0"/>
    <x v="0"/>
    <s v="Bush Somerset Collection Bookcase"/>
    <x v="0"/>
    <n v="2"/>
    <n v="0"/>
    <x v="0"/>
  </r>
  <r>
    <n v="2"/>
    <x v="0"/>
    <x v="0"/>
    <x v="0"/>
    <x v="0"/>
    <s v="CG-12520"/>
    <x v="0"/>
    <x v="0"/>
    <s v="United States"/>
    <s v="Henderson"/>
    <x v="0"/>
    <n v="42420"/>
    <x v="0"/>
    <s v="FUR-CH-10000454"/>
    <x v="0"/>
    <x v="1"/>
    <s v="Hon Deluxe Fabric Upholstered Stacking Chairs, Rounded Back"/>
    <x v="1"/>
    <n v="3"/>
    <n v="0"/>
    <x v="1"/>
  </r>
  <r>
    <n v="3"/>
    <x v="1"/>
    <x v="1"/>
    <x v="1"/>
    <x v="0"/>
    <s v="DV-13045"/>
    <x v="1"/>
    <x v="1"/>
    <s v="United States"/>
    <s v="Los Angeles"/>
    <x v="1"/>
    <n v="90036"/>
    <x v="1"/>
    <s v="OFF-LA-10000240"/>
    <x v="1"/>
    <x v="2"/>
    <s v="Self-Adhesive Address Labels for Typewriters by Universal"/>
    <x v="2"/>
    <n v="2"/>
    <n v="0"/>
    <x v="2"/>
  </r>
  <r>
    <n v="4"/>
    <x v="2"/>
    <x v="2"/>
    <x v="2"/>
    <x v="1"/>
    <s v="SO-20335"/>
    <x v="2"/>
    <x v="0"/>
    <s v="United States"/>
    <s v="Fort Lauderdale"/>
    <x v="2"/>
    <n v="33311"/>
    <x v="0"/>
    <s v="FUR-TA-10000577"/>
    <x v="0"/>
    <x v="3"/>
    <s v="Bretford CR4500 Series Slim Rectangular Table"/>
    <x v="3"/>
    <n v="5"/>
    <n v="0.45"/>
    <x v="3"/>
  </r>
  <r>
    <n v="5"/>
    <x v="2"/>
    <x v="2"/>
    <x v="2"/>
    <x v="1"/>
    <s v="SO-20335"/>
    <x v="2"/>
    <x v="0"/>
    <s v="United States"/>
    <s v="Fort Lauderdale"/>
    <x v="2"/>
    <n v="33311"/>
    <x v="0"/>
    <s v="OFF-ST-10000760"/>
    <x v="1"/>
    <x v="4"/>
    <s v="Eldon Fold 'N Roll Cart System"/>
    <x v="4"/>
    <n v="2"/>
    <n v="0.2"/>
    <x v="4"/>
  </r>
  <r>
    <n v="6"/>
    <x v="3"/>
    <x v="3"/>
    <x v="3"/>
    <x v="1"/>
    <s v="BH-11710"/>
    <x v="3"/>
    <x v="0"/>
    <s v="United States"/>
    <s v="Los Angeles"/>
    <x v="1"/>
    <n v="90032"/>
    <x v="1"/>
    <s v="FUR-FU-10001487"/>
    <x v="0"/>
    <x v="5"/>
    <s v="Eldon Expressions Wood and Plastic Desk Accessories, Cherry Wood"/>
    <x v="5"/>
    <n v="7"/>
    <n v="0"/>
    <x v="5"/>
  </r>
  <r>
    <n v="7"/>
    <x v="3"/>
    <x v="3"/>
    <x v="3"/>
    <x v="1"/>
    <s v="BH-11710"/>
    <x v="3"/>
    <x v="0"/>
    <s v="United States"/>
    <s v="Los Angeles"/>
    <x v="1"/>
    <n v="90032"/>
    <x v="1"/>
    <s v="OFF-AR-10002833"/>
    <x v="1"/>
    <x v="6"/>
    <s v="Newell 322"/>
    <x v="6"/>
    <n v="4"/>
    <n v="0"/>
    <x v="6"/>
  </r>
  <r>
    <n v="8"/>
    <x v="3"/>
    <x v="3"/>
    <x v="3"/>
    <x v="1"/>
    <s v="BH-11710"/>
    <x v="3"/>
    <x v="0"/>
    <s v="United States"/>
    <s v="Los Angeles"/>
    <x v="1"/>
    <n v="90032"/>
    <x v="1"/>
    <s v="TEC-PH-10002275"/>
    <x v="2"/>
    <x v="7"/>
    <s v="Mitel 5320 IP Phone VoIP phone"/>
    <x v="7"/>
    <n v="6"/>
    <n v="0.2"/>
    <x v="7"/>
  </r>
  <r>
    <n v="9"/>
    <x v="3"/>
    <x v="3"/>
    <x v="3"/>
    <x v="1"/>
    <s v="BH-11710"/>
    <x v="3"/>
    <x v="0"/>
    <s v="United States"/>
    <s v="Los Angeles"/>
    <x v="1"/>
    <n v="90032"/>
    <x v="1"/>
    <s v="OFF-BI-10003910"/>
    <x v="1"/>
    <x v="8"/>
    <s v="DXL Angle-View Binders with Locking Rings by Samsill"/>
    <x v="8"/>
    <n v="3"/>
    <n v="0.2"/>
    <x v="8"/>
  </r>
  <r>
    <n v="10"/>
    <x v="3"/>
    <x v="3"/>
    <x v="3"/>
    <x v="1"/>
    <s v="BH-11710"/>
    <x v="3"/>
    <x v="0"/>
    <s v="United States"/>
    <s v="Los Angeles"/>
    <x v="1"/>
    <n v="90032"/>
    <x v="1"/>
    <s v="OFF-AP-10002892"/>
    <x v="1"/>
    <x v="9"/>
    <s v="Belkin F5C206VTEL 6 Outlet Surge"/>
    <x v="9"/>
    <n v="5"/>
    <n v="0"/>
    <x v="9"/>
  </r>
  <r>
    <n v="11"/>
    <x v="3"/>
    <x v="3"/>
    <x v="3"/>
    <x v="1"/>
    <s v="BH-11710"/>
    <x v="3"/>
    <x v="0"/>
    <s v="United States"/>
    <s v="Los Angeles"/>
    <x v="1"/>
    <n v="90032"/>
    <x v="1"/>
    <s v="FUR-TA-10001539"/>
    <x v="0"/>
    <x v="3"/>
    <s v="Chromcraft Rectangular Conference Tables"/>
    <x v="10"/>
    <n v="9"/>
    <n v="0.2"/>
    <x v="10"/>
  </r>
  <r>
    <n v="12"/>
    <x v="3"/>
    <x v="3"/>
    <x v="3"/>
    <x v="1"/>
    <s v="BH-11710"/>
    <x v="3"/>
    <x v="0"/>
    <s v="United States"/>
    <s v="Los Angeles"/>
    <x v="1"/>
    <n v="90032"/>
    <x v="1"/>
    <s v="TEC-PH-10002033"/>
    <x v="2"/>
    <x v="7"/>
    <s v="Konftel 250 Conference phone - Charcoal black"/>
    <x v="11"/>
    <n v="4"/>
    <n v="0.2"/>
    <x v="11"/>
  </r>
  <r>
    <n v="13"/>
    <x v="4"/>
    <x v="4"/>
    <x v="4"/>
    <x v="1"/>
    <s v="AA-10480"/>
    <x v="4"/>
    <x v="0"/>
    <s v="United States"/>
    <s v="Concord"/>
    <x v="3"/>
    <n v="28027"/>
    <x v="0"/>
    <s v="OFF-PA-10002365"/>
    <x v="1"/>
    <x v="10"/>
    <s v="Xerox 1967"/>
    <x v="12"/>
    <n v="3"/>
    <n v="0.2"/>
    <x v="12"/>
  </r>
  <r>
    <n v="14"/>
    <x v="5"/>
    <x v="5"/>
    <x v="5"/>
    <x v="1"/>
    <s v="IM-15070"/>
    <x v="5"/>
    <x v="0"/>
    <s v="United States"/>
    <s v="Seattle"/>
    <x v="4"/>
    <n v="98103"/>
    <x v="1"/>
    <s v="OFF-BI-10003656"/>
    <x v="1"/>
    <x v="8"/>
    <s v="Fellowes PB200 Plastic Comb Binding Machine"/>
    <x v="13"/>
    <n v="3"/>
    <n v="0.2"/>
    <x v="13"/>
  </r>
  <r>
    <n v="15"/>
    <x v="6"/>
    <x v="6"/>
    <x v="6"/>
    <x v="1"/>
    <s v="HP-14815"/>
    <x v="6"/>
    <x v="2"/>
    <s v="United States"/>
    <s v="Fort Worth"/>
    <x v="5"/>
    <n v="76106"/>
    <x v="2"/>
    <s v="OFF-AP-10002311"/>
    <x v="1"/>
    <x v="9"/>
    <s v="Holmes Replacement Filter for HEPA Air Cleaner, Very Large Room, HEPA Filter"/>
    <x v="14"/>
    <n v="5"/>
    <n v="0.8"/>
    <x v="14"/>
  </r>
  <r>
    <n v="16"/>
    <x v="6"/>
    <x v="6"/>
    <x v="6"/>
    <x v="1"/>
    <s v="HP-14815"/>
    <x v="6"/>
    <x v="2"/>
    <s v="United States"/>
    <s v="Fort Worth"/>
    <x v="5"/>
    <n v="76106"/>
    <x v="2"/>
    <s v="OFF-BI-10000756"/>
    <x v="1"/>
    <x v="8"/>
    <s v="Storex DuraTech Recycled Plastic Frosted Binders"/>
    <x v="15"/>
    <n v="3"/>
    <n v="0.8"/>
    <x v="15"/>
  </r>
  <r>
    <n v="17"/>
    <x v="7"/>
    <x v="7"/>
    <x v="7"/>
    <x v="1"/>
    <s v="PK-19075"/>
    <x v="7"/>
    <x v="0"/>
    <s v="United States"/>
    <s v="Madison"/>
    <x v="6"/>
    <n v="53711"/>
    <x v="2"/>
    <s v="OFF-ST-10004186"/>
    <x v="1"/>
    <x v="4"/>
    <s v="Stur-D-Stor Shelving, Vertical 5-Shelf: 72&quot;H x 36&quot;W x 18 1/2&quot;D"/>
    <x v="16"/>
    <n v="6"/>
    <n v="0"/>
    <x v="16"/>
  </r>
  <r>
    <n v="18"/>
    <x v="8"/>
    <x v="8"/>
    <x v="8"/>
    <x v="0"/>
    <s v="AG-10270"/>
    <x v="8"/>
    <x v="0"/>
    <s v="United States"/>
    <s v="West Jordan"/>
    <x v="7"/>
    <n v="84084"/>
    <x v="1"/>
    <s v="OFF-ST-10000107"/>
    <x v="1"/>
    <x v="4"/>
    <s v="Fellowes Super Stor/Drawer"/>
    <x v="17"/>
    <n v="2"/>
    <n v="0"/>
    <x v="17"/>
  </r>
  <r>
    <n v="19"/>
    <x v="9"/>
    <x v="9"/>
    <x v="9"/>
    <x v="0"/>
    <s v="ZD-21925"/>
    <x v="9"/>
    <x v="0"/>
    <s v="United States"/>
    <s v="San Francisco"/>
    <x v="1"/>
    <n v="94109"/>
    <x v="1"/>
    <s v="OFF-AR-10003056"/>
    <x v="1"/>
    <x v="6"/>
    <s v="Newell 341"/>
    <x v="18"/>
    <n v="2"/>
    <n v="0"/>
    <x v="18"/>
  </r>
  <r>
    <n v="20"/>
    <x v="9"/>
    <x v="9"/>
    <x v="9"/>
    <x v="0"/>
    <s v="ZD-21925"/>
    <x v="9"/>
    <x v="0"/>
    <s v="United States"/>
    <s v="San Francisco"/>
    <x v="1"/>
    <n v="94109"/>
    <x v="1"/>
    <s v="TEC-PH-10001949"/>
    <x v="2"/>
    <x v="7"/>
    <s v="Cisco SPA 501G IP Phone"/>
    <x v="19"/>
    <n v="3"/>
    <n v="0.2"/>
    <x v="19"/>
  </r>
  <r>
    <n v="21"/>
    <x v="9"/>
    <x v="9"/>
    <x v="9"/>
    <x v="0"/>
    <s v="ZD-21925"/>
    <x v="9"/>
    <x v="0"/>
    <s v="United States"/>
    <s v="San Francisco"/>
    <x v="1"/>
    <n v="94109"/>
    <x v="1"/>
    <s v="OFF-BI-10002215"/>
    <x v="1"/>
    <x v="8"/>
    <s v="Wilson Jones Hanging View Binder, White, 1&quot;"/>
    <x v="20"/>
    <n v="4"/>
    <n v="0.2"/>
    <x v="20"/>
  </r>
  <r>
    <n v="22"/>
    <x v="10"/>
    <x v="10"/>
    <x v="10"/>
    <x v="1"/>
    <s v="KB-16585"/>
    <x v="10"/>
    <x v="1"/>
    <s v="United States"/>
    <s v="Fremont"/>
    <x v="8"/>
    <n v="68025"/>
    <x v="2"/>
    <s v="OFF-AR-10000246"/>
    <x v="1"/>
    <x v="6"/>
    <s v="Newell 318"/>
    <x v="21"/>
    <n v="7"/>
    <n v="0"/>
    <x v="21"/>
  </r>
  <r>
    <n v="23"/>
    <x v="10"/>
    <x v="10"/>
    <x v="10"/>
    <x v="1"/>
    <s v="KB-16585"/>
    <x v="10"/>
    <x v="1"/>
    <s v="United States"/>
    <s v="Fremont"/>
    <x v="8"/>
    <n v="68025"/>
    <x v="2"/>
    <s v="OFF-AP-10001492"/>
    <x v="1"/>
    <x v="9"/>
    <s v="Acco Six-Outlet Power Strip, 4' Cord Length"/>
    <x v="22"/>
    <n v="7"/>
    <n v="0"/>
    <x v="22"/>
  </r>
  <r>
    <n v="24"/>
    <x v="11"/>
    <x v="11"/>
    <x v="11"/>
    <x v="0"/>
    <s v="SF-20065"/>
    <x v="11"/>
    <x v="0"/>
    <s v="United States"/>
    <s v="Philadelphia"/>
    <x v="9"/>
    <n v="19140"/>
    <x v="3"/>
    <s v="FUR-CH-10002774"/>
    <x v="0"/>
    <x v="1"/>
    <s v="Global Deluxe Stacking Chair, Gray"/>
    <x v="23"/>
    <n v="2"/>
    <n v="0.3"/>
    <x v="23"/>
  </r>
  <r>
    <n v="25"/>
    <x v="12"/>
    <x v="12"/>
    <x v="12"/>
    <x v="1"/>
    <s v="EB-13870"/>
    <x v="12"/>
    <x v="0"/>
    <s v="United States"/>
    <s v="Orem"/>
    <x v="7"/>
    <n v="84057"/>
    <x v="1"/>
    <s v="FUR-TA-10000577"/>
    <x v="0"/>
    <x v="3"/>
    <s v="Bretford CR4500 Series Slim Rectangular Table"/>
    <x v="24"/>
    <n v="3"/>
    <n v="0"/>
    <x v="24"/>
  </r>
  <r>
    <n v="26"/>
    <x v="13"/>
    <x v="13"/>
    <x v="13"/>
    <x v="0"/>
    <s v="EH-13945"/>
    <x v="13"/>
    <x v="0"/>
    <s v="United States"/>
    <s v="Los Angeles"/>
    <x v="1"/>
    <n v="90049"/>
    <x v="1"/>
    <s v="OFF-BI-10001634"/>
    <x v="1"/>
    <x v="8"/>
    <s v="Wilson Jones Active Use Binders"/>
    <x v="25"/>
    <n v="2"/>
    <n v="0.2"/>
    <x v="25"/>
  </r>
  <r>
    <n v="27"/>
    <x v="13"/>
    <x v="13"/>
    <x v="13"/>
    <x v="0"/>
    <s v="EH-13945"/>
    <x v="13"/>
    <x v="0"/>
    <s v="United States"/>
    <s v="Los Angeles"/>
    <x v="1"/>
    <n v="90049"/>
    <x v="1"/>
    <s v="TEC-AC-10003027"/>
    <x v="2"/>
    <x v="11"/>
    <s v="Imation 8GB Mini TravelDrive USB 2.0 Flash Drive"/>
    <x v="26"/>
    <n v="3"/>
    <n v="0"/>
    <x v="26"/>
  </r>
  <r>
    <n v="28"/>
    <x v="14"/>
    <x v="14"/>
    <x v="14"/>
    <x v="1"/>
    <s v="TB-21520"/>
    <x v="14"/>
    <x v="0"/>
    <s v="United States"/>
    <s v="Philadelphia"/>
    <x v="9"/>
    <n v="19140"/>
    <x v="3"/>
    <s v="FUR-BO-10004834"/>
    <x v="0"/>
    <x v="0"/>
    <s v="Riverside Palais Royal Lawyers Bookcase, Royale Cherry Finish"/>
    <x v="27"/>
    <n v="7"/>
    <n v="0.5"/>
    <x v="27"/>
  </r>
  <r>
    <n v="29"/>
    <x v="14"/>
    <x v="14"/>
    <x v="14"/>
    <x v="1"/>
    <s v="TB-21520"/>
    <x v="14"/>
    <x v="0"/>
    <s v="United States"/>
    <s v="Philadelphia"/>
    <x v="9"/>
    <n v="19140"/>
    <x v="3"/>
    <s v="OFF-BI-10000474"/>
    <x v="1"/>
    <x v="8"/>
    <s v="Avery Recycled Flexi-View Covers for Binding Systems"/>
    <x v="28"/>
    <n v="2"/>
    <n v="0.7"/>
    <x v="28"/>
  </r>
  <r>
    <n v="30"/>
    <x v="14"/>
    <x v="14"/>
    <x v="14"/>
    <x v="1"/>
    <s v="TB-21520"/>
    <x v="14"/>
    <x v="0"/>
    <s v="United States"/>
    <s v="Philadelphia"/>
    <x v="9"/>
    <n v="19140"/>
    <x v="3"/>
    <s v="FUR-FU-10004848"/>
    <x v="0"/>
    <x v="5"/>
    <s v="Howard Miller 13-3/4&quot; Diameter Brushed Chrome Round Wall Clock"/>
    <x v="29"/>
    <n v="3"/>
    <n v="0.2"/>
    <x v="29"/>
  </r>
  <r>
    <n v="31"/>
    <x v="14"/>
    <x v="14"/>
    <x v="14"/>
    <x v="1"/>
    <s v="TB-21520"/>
    <x v="14"/>
    <x v="0"/>
    <s v="United States"/>
    <s v="Philadelphia"/>
    <x v="9"/>
    <n v="19140"/>
    <x v="3"/>
    <s v="OFF-EN-10001509"/>
    <x v="1"/>
    <x v="12"/>
    <s v="Poly String Tie Envelopes"/>
    <x v="30"/>
    <n v="2"/>
    <n v="0.2"/>
    <x v="30"/>
  </r>
  <r>
    <n v="32"/>
    <x v="14"/>
    <x v="14"/>
    <x v="14"/>
    <x v="1"/>
    <s v="TB-21520"/>
    <x v="14"/>
    <x v="0"/>
    <s v="United States"/>
    <s v="Philadelphia"/>
    <x v="9"/>
    <n v="19140"/>
    <x v="3"/>
    <s v="OFF-AR-10004042"/>
    <x v="1"/>
    <x v="6"/>
    <s v="BOSTON Model 1800 Electric Pencil Sharpeners, Putty/Woodgrain"/>
    <x v="31"/>
    <n v="6"/>
    <n v="0.2"/>
    <x v="31"/>
  </r>
  <r>
    <n v="33"/>
    <x v="14"/>
    <x v="14"/>
    <x v="14"/>
    <x v="1"/>
    <s v="TB-21520"/>
    <x v="14"/>
    <x v="0"/>
    <s v="United States"/>
    <s v="Philadelphia"/>
    <x v="9"/>
    <n v="19140"/>
    <x v="3"/>
    <s v="OFF-BI-10001525"/>
    <x v="1"/>
    <x v="8"/>
    <s v="Acco Pressboard Covers with Storage Hooks, 14 7/8&quot; x 11&quot;, Executive Red"/>
    <x v="32"/>
    <n v="6"/>
    <n v="0.7"/>
    <x v="32"/>
  </r>
  <r>
    <n v="34"/>
    <x v="14"/>
    <x v="14"/>
    <x v="14"/>
    <x v="1"/>
    <s v="TB-21520"/>
    <x v="14"/>
    <x v="0"/>
    <s v="United States"/>
    <s v="Philadelphia"/>
    <x v="9"/>
    <n v="19140"/>
    <x v="3"/>
    <s v="OFF-AR-10001683"/>
    <x v="1"/>
    <x v="6"/>
    <s v="Lumber Crayons"/>
    <x v="33"/>
    <n v="2"/>
    <n v="0.2"/>
    <x v="33"/>
  </r>
  <r>
    <n v="35"/>
    <x v="15"/>
    <x v="15"/>
    <x v="15"/>
    <x v="0"/>
    <s v="MA-17560"/>
    <x v="15"/>
    <x v="2"/>
    <s v="United States"/>
    <s v="Houston"/>
    <x v="5"/>
    <n v="77095"/>
    <x v="2"/>
    <s v="OFF-PA-10000249"/>
    <x v="1"/>
    <x v="10"/>
    <s v="Easy-staple paper"/>
    <x v="34"/>
    <n v="3"/>
    <n v="0.2"/>
    <x v="34"/>
  </r>
  <r>
    <n v="36"/>
    <x v="16"/>
    <x v="16"/>
    <x v="5"/>
    <x v="2"/>
    <s v="GH-14485"/>
    <x v="16"/>
    <x v="1"/>
    <s v="United States"/>
    <s v="Richardson"/>
    <x v="5"/>
    <n v="75080"/>
    <x v="2"/>
    <s v="TEC-PH-10004977"/>
    <x v="2"/>
    <x v="7"/>
    <s v="GE 30524EE4"/>
    <x v="35"/>
    <n v="7"/>
    <n v="0.2"/>
    <x v="35"/>
  </r>
  <r>
    <n v="37"/>
    <x v="16"/>
    <x v="16"/>
    <x v="5"/>
    <x v="2"/>
    <s v="GH-14485"/>
    <x v="16"/>
    <x v="1"/>
    <s v="United States"/>
    <s v="Richardson"/>
    <x v="5"/>
    <n v="75080"/>
    <x v="2"/>
    <s v="FUR-FU-10003664"/>
    <x v="0"/>
    <x v="5"/>
    <s v="Electrix Architect's Clamp-On Swing Arm Lamp, Black"/>
    <x v="36"/>
    <n v="5"/>
    <n v="0.6"/>
    <x v="36"/>
  </r>
  <r>
    <n v="38"/>
    <x v="17"/>
    <x v="17"/>
    <x v="16"/>
    <x v="1"/>
    <s v="SN-20710"/>
    <x v="17"/>
    <x v="2"/>
    <s v="United States"/>
    <s v="Houston"/>
    <x v="5"/>
    <n v="77041"/>
    <x v="2"/>
    <s v="OFF-EN-10002986"/>
    <x v="1"/>
    <x v="12"/>
    <s v="#10-4 1/8&quot; x 9 1/2&quot; Premium Diagonal Seam Envelopes"/>
    <x v="37"/>
    <n v="9"/>
    <n v="0.2"/>
    <x v="37"/>
  </r>
  <r>
    <n v="39"/>
    <x v="17"/>
    <x v="17"/>
    <x v="16"/>
    <x v="1"/>
    <s v="SN-20710"/>
    <x v="17"/>
    <x v="2"/>
    <s v="United States"/>
    <s v="Houston"/>
    <x v="5"/>
    <n v="77041"/>
    <x v="2"/>
    <s v="FUR-BO-10002545"/>
    <x v="0"/>
    <x v="0"/>
    <s v="Atlantic Metals Mobile 3-Shelf Bookcases, Custom Colors"/>
    <x v="38"/>
    <n v="3"/>
    <n v="0.32"/>
    <x v="38"/>
  </r>
  <r>
    <n v="40"/>
    <x v="17"/>
    <x v="17"/>
    <x v="16"/>
    <x v="1"/>
    <s v="SN-20710"/>
    <x v="17"/>
    <x v="2"/>
    <s v="United States"/>
    <s v="Houston"/>
    <x v="5"/>
    <n v="77041"/>
    <x v="2"/>
    <s v="FUR-CH-10004218"/>
    <x v="0"/>
    <x v="1"/>
    <s v="Global Fabric Manager's Chair, Dark Gray"/>
    <x v="39"/>
    <n v="3"/>
    <n v="0.3"/>
    <x v="39"/>
  </r>
  <r>
    <n v="41"/>
    <x v="17"/>
    <x v="17"/>
    <x v="16"/>
    <x v="1"/>
    <s v="SN-20710"/>
    <x v="17"/>
    <x v="2"/>
    <s v="United States"/>
    <s v="Houston"/>
    <x v="5"/>
    <n v="77041"/>
    <x v="2"/>
    <s v="TEC-PH-10000486"/>
    <x v="2"/>
    <x v="7"/>
    <s v="Plantronics HL10 Handset Lifter"/>
    <x v="40"/>
    <n v="4"/>
    <n v="0.2"/>
    <x v="40"/>
  </r>
  <r>
    <n v="42"/>
    <x v="18"/>
    <x v="18"/>
    <x v="17"/>
    <x v="1"/>
    <s v="LC-16930"/>
    <x v="18"/>
    <x v="1"/>
    <s v="United States"/>
    <s v="Naperville"/>
    <x v="10"/>
    <n v="60540"/>
    <x v="2"/>
    <s v="TEC-PH-10004093"/>
    <x v="2"/>
    <x v="7"/>
    <s v="Panasonic Kx-TS550"/>
    <x v="41"/>
    <n v="4"/>
    <n v="0.2"/>
    <x v="41"/>
  </r>
  <r>
    <n v="43"/>
    <x v="19"/>
    <x v="19"/>
    <x v="18"/>
    <x v="1"/>
    <s v="RA-19885"/>
    <x v="19"/>
    <x v="1"/>
    <s v="United States"/>
    <s v="Los Angeles"/>
    <x v="1"/>
    <n v="90049"/>
    <x v="1"/>
    <s v="OFF-ST-10003479"/>
    <x v="1"/>
    <x v="4"/>
    <s v="Eldon Base for stackable storage shelf, platinum"/>
    <x v="42"/>
    <n v="2"/>
    <n v="0"/>
    <x v="42"/>
  </r>
  <r>
    <n v="44"/>
    <x v="20"/>
    <x v="20"/>
    <x v="19"/>
    <x v="1"/>
    <s v="ES-14080"/>
    <x v="20"/>
    <x v="1"/>
    <s v="United States"/>
    <s v="Melbourne"/>
    <x v="2"/>
    <n v="32935"/>
    <x v="0"/>
    <s v="OFF-ST-10003282"/>
    <x v="1"/>
    <x v="4"/>
    <s v="Advantus 10-Drawer Portable Organizer, Chrome Metal Frame, Smoke Drawers"/>
    <x v="43"/>
    <n v="2"/>
    <n v="0.2"/>
    <x v="43"/>
  </r>
  <r>
    <n v="45"/>
    <x v="21"/>
    <x v="21"/>
    <x v="20"/>
    <x v="2"/>
    <s v="ON-18715"/>
    <x v="21"/>
    <x v="1"/>
    <s v="United States"/>
    <s v="Eagan"/>
    <x v="11"/>
    <n v="55122"/>
    <x v="2"/>
    <s v="TEC-AC-10000171"/>
    <x v="2"/>
    <x v="11"/>
    <s v="Verbatim 25 GB 6x Blu-ray Single Layer Recordable Disc, 25/Pack"/>
    <x v="44"/>
    <n v="2"/>
    <n v="0"/>
    <x v="44"/>
  </r>
  <r>
    <n v="46"/>
    <x v="21"/>
    <x v="21"/>
    <x v="20"/>
    <x v="2"/>
    <s v="ON-18715"/>
    <x v="21"/>
    <x v="1"/>
    <s v="United States"/>
    <s v="Eagan"/>
    <x v="11"/>
    <n v="55122"/>
    <x v="2"/>
    <s v="OFF-BI-10003291"/>
    <x v="1"/>
    <x v="8"/>
    <s v="Wilson Jones Leather-Like Binders with DublLock Round Rings"/>
    <x v="45"/>
    <n v="2"/>
    <n v="0"/>
    <x v="45"/>
  </r>
  <r>
    <n v="47"/>
    <x v="22"/>
    <x v="22"/>
    <x v="21"/>
    <x v="0"/>
    <s v="PO-18865"/>
    <x v="22"/>
    <x v="0"/>
    <s v="United States"/>
    <s v="Westland"/>
    <x v="12"/>
    <n v="48185"/>
    <x v="2"/>
    <s v="OFF-ST-10001713"/>
    <x v="1"/>
    <x v="4"/>
    <s v="Gould Plastics 9-Pocket Panel Bin, 18-3/8w x 5-1/4d x 20-1/2h, Black"/>
    <x v="46"/>
    <n v="4"/>
    <n v="0"/>
    <x v="46"/>
  </r>
  <r>
    <n v="48"/>
    <x v="23"/>
    <x v="23"/>
    <x v="22"/>
    <x v="1"/>
    <s v="LH-16900"/>
    <x v="23"/>
    <x v="0"/>
    <s v="United States"/>
    <s v="Dover"/>
    <x v="13"/>
    <n v="19901"/>
    <x v="3"/>
    <s v="TEC-AC-10002167"/>
    <x v="2"/>
    <x v="11"/>
    <s v="Imation 8gb Micro Traveldrive Usb 2.0 Flash Drive"/>
    <x v="47"/>
    <n v="3"/>
    <n v="0"/>
    <x v="47"/>
  </r>
  <r>
    <n v="49"/>
    <x v="23"/>
    <x v="23"/>
    <x v="22"/>
    <x v="1"/>
    <s v="LH-16900"/>
    <x v="23"/>
    <x v="0"/>
    <s v="United States"/>
    <s v="Dover"/>
    <x v="13"/>
    <n v="19901"/>
    <x v="3"/>
    <s v="TEC-PH-10003988"/>
    <x v="2"/>
    <x v="7"/>
    <s v="LF Elite 3D Dazzle Designer Hard Case Cover, Lf Stylus Pen and Wiper For Apple Iphone 5c Mini Lite"/>
    <x v="48"/>
    <n v="2"/>
    <n v="0"/>
    <x v="48"/>
  </r>
  <r>
    <n v="50"/>
    <x v="24"/>
    <x v="24"/>
    <x v="23"/>
    <x v="1"/>
    <s v="DP-13000"/>
    <x v="24"/>
    <x v="0"/>
    <s v="United States"/>
    <s v="New Albany"/>
    <x v="14"/>
    <n v="47150"/>
    <x v="2"/>
    <s v="OFF-BI-10004410"/>
    <x v="1"/>
    <x v="8"/>
    <s v="C-Line Peel &amp; Stick Add-On Filing Pockets, 8-3/4 x 5-1/8, 10/Pack"/>
    <x v="49"/>
    <n v="6"/>
    <n v="0"/>
    <x v="49"/>
  </r>
  <r>
    <n v="51"/>
    <x v="24"/>
    <x v="24"/>
    <x v="23"/>
    <x v="1"/>
    <s v="DP-13000"/>
    <x v="24"/>
    <x v="0"/>
    <s v="United States"/>
    <s v="New Albany"/>
    <x v="14"/>
    <n v="47150"/>
    <x v="2"/>
    <s v="OFF-LA-10002762"/>
    <x v="1"/>
    <x v="2"/>
    <s v="Avery 485"/>
    <x v="50"/>
    <n v="6"/>
    <n v="0"/>
    <x v="50"/>
  </r>
  <r>
    <n v="52"/>
    <x v="24"/>
    <x v="24"/>
    <x v="23"/>
    <x v="1"/>
    <s v="DP-13000"/>
    <x v="24"/>
    <x v="0"/>
    <s v="United States"/>
    <s v="New Albany"/>
    <x v="14"/>
    <n v="47150"/>
    <x v="2"/>
    <s v="FUR-FU-10001706"/>
    <x v="0"/>
    <x v="5"/>
    <s v="Longer-Life Soft White Bulbs"/>
    <x v="51"/>
    <n v="2"/>
    <n v="0"/>
    <x v="51"/>
  </r>
  <r>
    <n v="53"/>
    <x v="24"/>
    <x v="24"/>
    <x v="23"/>
    <x v="1"/>
    <s v="DP-13000"/>
    <x v="24"/>
    <x v="0"/>
    <s v="United States"/>
    <s v="New Albany"/>
    <x v="14"/>
    <n v="47150"/>
    <x v="2"/>
    <s v="FUR-CH-10003061"/>
    <x v="0"/>
    <x v="1"/>
    <s v="Global Leather Task Chair, Black"/>
    <x v="52"/>
    <n v="1"/>
    <n v="0"/>
    <x v="52"/>
  </r>
  <r>
    <n v="54"/>
    <x v="25"/>
    <x v="25"/>
    <x v="24"/>
    <x v="1"/>
    <s v="JM-15265"/>
    <x v="25"/>
    <x v="1"/>
    <s v="United States"/>
    <s v="New York City"/>
    <x v="15"/>
    <n v="10024"/>
    <x v="3"/>
    <s v="OFF-FA-10000304"/>
    <x v="1"/>
    <x v="13"/>
    <s v="Advantus Push Pins"/>
    <x v="53"/>
    <n v="7"/>
    <n v="0"/>
    <x v="53"/>
  </r>
  <r>
    <n v="55"/>
    <x v="25"/>
    <x v="25"/>
    <x v="24"/>
    <x v="1"/>
    <s v="JM-15265"/>
    <x v="25"/>
    <x v="1"/>
    <s v="United States"/>
    <s v="New York City"/>
    <x v="15"/>
    <n v="10024"/>
    <x v="3"/>
    <s v="TEC-PH-10002447"/>
    <x v="2"/>
    <x v="7"/>
    <s v="AT&amp;T CL83451 4-Handset Telephone"/>
    <x v="54"/>
    <n v="5"/>
    <n v="0"/>
    <x v="54"/>
  </r>
  <r>
    <n v="56"/>
    <x v="26"/>
    <x v="26"/>
    <x v="25"/>
    <x v="2"/>
    <s v="TB-21055"/>
    <x v="26"/>
    <x v="0"/>
    <s v="United States"/>
    <s v="Troy"/>
    <x v="15"/>
    <n v="12180"/>
    <x v="3"/>
    <s v="OFF-ST-10000604"/>
    <x v="1"/>
    <x v="4"/>
    <s v="Home/Office Personal File Carts"/>
    <x v="55"/>
    <n v="6"/>
    <n v="0"/>
    <x v="55"/>
  </r>
  <r>
    <n v="57"/>
    <x v="26"/>
    <x v="26"/>
    <x v="25"/>
    <x v="2"/>
    <s v="TB-21055"/>
    <x v="26"/>
    <x v="0"/>
    <s v="United States"/>
    <s v="Troy"/>
    <x v="15"/>
    <n v="12180"/>
    <x v="3"/>
    <s v="OFF-PA-10001569"/>
    <x v="1"/>
    <x v="10"/>
    <s v="Xerox 232"/>
    <x v="56"/>
    <n v="5"/>
    <n v="0"/>
    <x v="56"/>
  </r>
  <r>
    <n v="58"/>
    <x v="26"/>
    <x v="26"/>
    <x v="25"/>
    <x v="2"/>
    <s v="TB-21055"/>
    <x v="26"/>
    <x v="0"/>
    <s v="United States"/>
    <s v="Troy"/>
    <x v="15"/>
    <n v="12180"/>
    <x v="3"/>
    <s v="FUR-CH-10003968"/>
    <x v="0"/>
    <x v="1"/>
    <s v="Novimex Turbo Task Chair"/>
    <x v="57"/>
    <n v="5"/>
    <n v="0.1"/>
    <x v="57"/>
  </r>
  <r>
    <n v="59"/>
    <x v="26"/>
    <x v="26"/>
    <x v="25"/>
    <x v="2"/>
    <s v="TB-21055"/>
    <x v="26"/>
    <x v="0"/>
    <s v="United States"/>
    <s v="Troy"/>
    <x v="15"/>
    <n v="12180"/>
    <x v="3"/>
    <s v="OFF-PA-10000587"/>
    <x v="1"/>
    <x v="10"/>
    <s v="Array Parchment Paper, Assorted Colors"/>
    <x v="58"/>
    <n v="2"/>
    <n v="0"/>
    <x v="58"/>
  </r>
  <r>
    <n v="60"/>
    <x v="26"/>
    <x v="26"/>
    <x v="25"/>
    <x v="2"/>
    <s v="TB-21055"/>
    <x v="26"/>
    <x v="0"/>
    <s v="United States"/>
    <s v="Troy"/>
    <x v="15"/>
    <n v="12180"/>
    <x v="3"/>
    <s v="TEC-AC-10002167"/>
    <x v="2"/>
    <x v="11"/>
    <s v="Imation 8gb Micro Traveldrive Usb 2.0 Flash Drive"/>
    <x v="59"/>
    <n v="2"/>
    <n v="0"/>
    <x v="59"/>
  </r>
  <r>
    <n v="61"/>
    <x v="26"/>
    <x v="26"/>
    <x v="25"/>
    <x v="2"/>
    <s v="TB-21055"/>
    <x v="26"/>
    <x v="0"/>
    <s v="United States"/>
    <s v="Troy"/>
    <x v="15"/>
    <n v="12180"/>
    <x v="3"/>
    <s v="OFF-BI-10001460"/>
    <x v="1"/>
    <x v="8"/>
    <s v="Plastic Binding Combs"/>
    <x v="60"/>
    <n v="4"/>
    <n v="0.2"/>
    <x v="60"/>
  </r>
  <r>
    <n v="62"/>
    <x v="26"/>
    <x v="26"/>
    <x v="25"/>
    <x v="2"/>
    <s v="TB-21055"/>
    <x v="26"/>
    <x v="0"/>
    <s v="United States"/>
    <s v="Troy"/>
    <x v="15"/>
    <n v="12180"/>
    <x v="3"/>
    <s v="OFF-AR-10001868"/>
    <x v="1"/>
    <x v="6"/>
    <s v="Prang Dustless Chalk Sticks"/>
    <x v="61"/>
    <n v="1"/>
    <n v="0"/>
    <x v="61"/>
  </r>
  <r>
    <n v="63"/>
    <x v="27"/>
    <x v="27"/>
    <x v="26"/>
    <x v="1"/>
    <s v="KM-16720"/>
    <x v="27"/>
    <x v="0"/>
    <s v="United States"/>
    <s v="Los Angeles"/>
    <x v="1"/>
    <n v="90004"/>
    <x v="1"/>
    <s v="TEC-AC-10004633"/>
    <x v="2"/>
    <x v="11"/>
    <s v="Verbatim 25 GB 6x Blu-ray Single Layer Recordable Disc, 3/Pack"/>
    <x v="62"/>
    <n v="2"/>
    <n v="0"/>
    <x v="62"/>
  </r>
  <r>
    <n v="64"/>
    <x v="27"/>
    <x v="27"/>
    <x v="26"/>
    <x v="1"/>
    <s v="KM-16720"/>
    <x v="27"/>
    <x v="0"/>
    <s v="United States"/>
    <s v="Los Angeles"/>
    <x v="1"/>
    <n v="90004"/>
    <x v="1"/>
    <s v="OFF-BI-10001078"/>
    <x v="1"/>
    <x v="8"/>
    <s v="Acco PRESSTEX Data Binder with Storage Hooks, Dark Blue, 14 7/8&quot; X 11&quot;"/>
    <x v="63"/>
    <n v="6"/>
    <n v="0.2"/>
    <x v="63"/>
  </r>
  <r>
    <n v="65"/>
    <x v="27"/>
    <x v="27"/>
    <x v="26"/>
    <x v="1"/>
    <s v="KM-16720"/>
    <x v="27"/>
    <x v="0"/>
    <s v="United States"/>
    <s v="Los Angeles"/>
    <x v="1"/>
    <n v="90004"/>
    <x v="1"/>
    <s v="OFF-PA-10003892"/>
    <x v="1"/>
    <x v="10"/>
    <s v="Xerox 1943"/>
    <x v="64"/>
    <n v="3"/>
    <n v="0"/>
    <x v="64"/>
  </r>
  <r>
    <n v="66"/>
    <x v="27"/>
    <x v="27"/>
    <x v="26"/>
    <x v="1"/>
    <s v="KM-16720"/>
    <x v="27"/>
    <x v="0"/>
    <s v="United States"/>
    <s v="Los Angeles"/>
    <x v="1"/>
    <n v="90004"/>
    <x v="1"/>
    <s v="FUR-FU-10000397"/>
    <x v="0"/>
    <x v="5"/>
    <s v="Luxo Economy Swing Arm Lamp"/>
    <x v="65"/>
    <n v="4"/>
    <n v="0"/>
    <x v="65"/>
  </r>
  <r>
    <n v="67"/>
    <x v="28"/>
    <x v="28"/>
    <x v="27"/>
    <x v="1"/>
    <s v="PS-18970"/>
    <x v="28"/>
    <x v="2"/>
    <s v="United States"/>
    <s v="Chicago"/>
    <x v="10"/>
    <n v="60610"/>
    <x v="2"/>
    <s v="FUR-CH-10001146"/>
    <x v="0"/>
    <x v="1"/>
    <s v="Global Value Mid-Back Manager's Chair, Gray"/>
    <x v="66"/>
    <n v="5"/>
    <n v="0.3"/>
    <x v="66"/>
  </r>
  <r>
    <n v="68"/>
    <x v="29"/>
    <x v="29"/>
    <x v="28"/>
    <x v="1"/>
    <s v="BS-11590"/>
    <x v="29"/>
    <x v="1"/>
    <s v="United States"/>
    <s v="Gilbert"/>
    <x v="16"/>
    <n v="85234"/>
    <x v="1"/>
    <s v="OFF-AR-10002671"/>
    <x v="1"/>
    <x v="6"/>
    <s v="Hunt BOSTON Model 1606 High-Volume Electric Pencil Sharpener, Beige"/>
    <x v="67"/>
    <n v="8"/>
    <n v="0.2"/>
    <x v="67"/>
  </r>
  <r>
    <n v="69"/>
    <x v="29"/>
    <x v="29"/>
    <x v="28"/>
    <x v="1"/>
    <s v="BS-11590"/>
    <x v="29"/>
    <x v="1"/>
    <s v="United States"/>
    <s v="Gilbert"/>
    <x v="16"/>
    <n v="85234"/>
    <x v="1"/>
    <s v="TEC-PH-10002726"/>
    <x v="2"/>
    <x v="7"/>
    <s v="netTALK DUO VoIP Telephone Service"/>
    <x v="68"/>
    <n v="4"/>
    <n v="0.2"/>
    <x v="68"/>
  </r>
  <r>
    <n v="70"/>
    <x v="30"/>
    <x v="30"/>
    <x v="29"/>
    <x v="2"/>
    <s v="KD-16270"/>
    <x v="30"/>
    <x v="0"/>
    <s v="United States"/>
    <s v="Springfield"/>
    <x v="17"/>
    <n v="22153"/>
    <x v="0"/>
    <s v="OFF-PA-10000482"/>
    <x v="1"/>
    <x v="10"/>
    <s v="Snap-A-Way Black Print Carbonless Ruled Speed Letter, Triplicate"/>
    <x v="69"/>
    <n v="2"/>
    <n v="0"/>
    <x v="69"/>
  </r>
  <r>
    <n v="71"/>
    <x v="31"/>
    <x v="31"/>
    <x v="30"/>
    <x v="1"/>
    <s v="HM-14980"/>
    <x v="31"/>
    <x v="0"/>
    <s v="United States"/>
    <s v="New York City"/>
    <x v="15"/>
    <n v="10009"/>
    <x v="3"/>
    <s v="OFF-BI-10004654"/>
    <x v="1"/>
    <x v="8"/>
    <s v="Avery Binding System Hidden Tab Executive Style Index Sets"/>
    <x v="70"/>
    <n v="1"/>
    <n v="0.2"/>
    <x v="70"/>
  </r>
  <r>
    <n v="72"/>
    <x v="32"/>
    <x v="32"/>
    <x v="31"/>
    <x v="0"/>
    <s v="TB-21520"/>
    <x v="14"/>
    <x v="0"/>
    <s v="United States"/>
    <s v="Jackson"/>
    <x v="12"/>
    <n v="49201"/>
    <x v="2"/>
    <s v="OFF-PA-10004675"/>
    <x v="1"/>
    <x v="10"/>
    <s v="Telephone Message Books with Fax/Mobile Section, 5 1/2&quot; x 3 3/16&quot;"/>
    <x v="71"/>
    <n v="3"/>
    <n v="0"/>
    <x v="71"/>
  </r>
  <r>
    <n v="73"/>
    <x v="33"/>
    <x v="33"/>
    <x v="32"/>
    <x v="1"/>
    <s v="JE-15745"/>
    <x v="32"/>
    <x v="0"/>
    <s v="United States"/>
    <s v="Memphis"/>
    <x v="18"/>
    <n v="38109"/>
    <x v="0"/>
    <s v="FUR-CH-10000513"/>
    <x v="0"/>
    <x v="1"/>
    <s v="High-Back Leather Manager's Chair"/>
    <x v="72"/>
    <n v="8"/>
    <n v="0.2"/>
    <x v="72"/>
  </r>
  <r>
    <n v="74"/>
    <x v="33"/>
    <x v="33"/>
    <x v="32"/>
    <x v="1"/>
    <s v="JE-15745"/>
    <x v="32"/>
    <x v="0"/>
    <s v="United States"/>
    <s v="Memphis"/>
    <x v="18"/>
    <n v="38109"/>
    <x v="0"/>
    <s v="FUR-FU-10003708"/>
    <x v="0"/>
    <x v="5"/>
    <s v="Tenex Traditional Chairmats for Medium Pile Carpet, Standard Lip, 36&quot; x 48&quot;"/>
    <x v="73"/>
    <n v="2"/>
    <n v="0.2"/>
    <x v="73"/>
  </r>
  <r>
    <n v="75"/>
    <x v="33"/>
    <x v="33"/>
    <x v="32"/>
    <x v="1"/>
    <s v="JE-15745"/>
    <x v="32"/>
    <x v="0"/>
    <s v="United States"/>
    <s v="Memphis"/>
    <x v="18"/>
    <n v="38109"/>
    <x v="0"/>
    <s v="OFF-ST-10004123"/>
    <x v="1"/>
    <x v="4"/>
    <s v="Safco Industrial Wire Shelving System"/>
    <x v="74"/>
    <n v="1"/>
    <n v="0.2"/>
    <x v="74"/>
  </r>
  <r>
    <n v="76"/>
    <x v="34"/>
    <x v="34"/>
    <x v="33"/>
    <x v="2"/>
    <s v="KB-16600"/>
    <x v="33"/>
    <x v="1"/>
    <s v="United States"/>
    <s v="Houston"/>
    <x v="5"/>
    <n v="77041"/>
    <x v="2"/>
    <s v="OFF-BI-10004182"/>
    <x v="1"/>
    <x v="8"/>
    <s v="Economy Binders"/>
    <x v="75"/>
    <n v="3"/>
    <n v="0.8"/>
    <x v="75"/>
  </r>
  <r>
    <n v="77"/>
    <x v="34"/>
    <x v="34"/>
    <x v="33"/>
    <x v="2"/>
    <s v="KB-16600"/>
    <x v="33"/>
    <x v="1"/>
    <s v="United States"/>
    <s v="Houston"/>
    <x v="5"/>
    <n v="77041"/>
    <x v="2"/>
    <s v="FUR-FU-10000260"/>
    <x v="0"/>
    <x v="5"/>
    <s v="6&quot; Cubicle Wall Clock, Black"/>
    <x v="76"/>
    <n v="3"/>
    <n v="0.6"/>
    <x v="76"/>
  </r>
  <r>
    <n v="78"/>
    <x v="34"/>
    <x v="34"/>
    <x v="33"/>
    <x v="2"/>
    <s v="KB-16600"/>
    <x v="33"/>
    <x v="1"/>
    <s v="United States"/>
    <s v="Houston"/>
    <x v="5"/>
    <n v="77041"/>
    <x v="2"/>
    <s v="OFF-ST-10000615"/>
    <x v="1"/>
    <x v="4"/>
    <s v="SimpliFile Personal File, Black Granite, 15w x 6-15/16d x 11-1/4h"/>
    <x v="77"/>
    <n v="3"/>
    <n v="0.2"/>
    <x v="77"/>
  </r>
  <r>
    <n v="79"/>
    <x v="35"/>
    <x v="35"/>
    <x v="34"/>
    <x v="0"/>
    <s v="JE-15745"/>
    <x v="32"/>
    <x v="0"/>
    <s v="United States"/>
    <s v="Houston"/>
    <x v="5"/>
    <n v="77070"/>
    <x v="2"/>
    <s v="FUR-FU-10003194"/>
    <x v="0"/>
    <x v="5"/>
    <s v="Eldon Expressions Desk Accessory, Wood Pencil Holder, Oak"/>
    <x v="78"/>
    <n v="5"/>
    <n v="0.6"/>
    <x v="78"/>
  </r>
  <r>
    <n v="80"/>
    <x v="36"/>
    <x v="1"/>
    <x v="35"/>
    <x v="2"/>
    <s v="SC-20770"/>
    <x v="34"/>
    <x v="1"/>
    <s v="United States"/>
    <s v="Decatur"/>
    <x v="19"/>
    <n v="35601"/>
    <x v="0"/>
    <s v="OFF-AP-10002118"/>
    <x v="1"/>
    <x v="9"/>
    <s v="1.7 Cubic Foot Compact &quot;Cube&quot; Office Refrigerators"/>
    <x v="79"/>
    <n v="1"/>
    <n v="0"/>
    <x v="79"/>
  </r>
  <r>
    <n v="81"/>
    <x v="36"/>
    <x v="1"/>
    <x v="35"/>
    <x v="2"/>
    <s v="SC-20770"/>
    <x v="34"/>
    <x v="1"/>
    <s v="United States"/>
    <s v="Decatur"/>
    <x v="19"/>
    <n v="35601"/>
    <x v="0"/>
    <s v="OFF-BI-10002309"/>
    <x v="1"/>
    <x v="8"/>
    <s v="Avery Heavy-Duty EZD  Binder With Locking Rings"/>
    <x v="80"/>
    <n v="3"/>
    <n v="0"/>
    <x v="80"/>
  </r>
  <r>
    <n v="82"/>
    <x v="37"/>
    <x v="36"/>
    <x v="36"/>
    <x v="1"/>
    <s v="DN-13690"/>
    <x v="35"/>
    <x v="0"/>
    <s v="United States"/>
    <s v="San Francisco"/>
    <x v="1"/>
    <n v="94122"/>
    <x v="1"/>
    <s v="OFF-AR-10002053"/>
    <x v="1"/>
    <x v="6"/>
    <s v="Premium Writing Pencils, Soft, #2 by Central Association for the Blind"/>
    <x v="81"/>
    <n v="5"/>
    <n v="0"/>
    <x v="81"/>
  </r>
  <r>
    <n v="83"/>
    <x v="37"/>
    <x v="36"/>
    <x v="36"/>
    <x v="1"/>
    <s v="DN-13690"/>
    <x v="35"/>
    <x v="0"/>
    <s v="United States"/>
    <s v="San Francisco"/>
    <x v="1"/>
    <n v="94122"/>
    <x v="1"/>
    <s v="OFF-ST-10002370"/>
    <x v="1"/>
    <x v="4"/>
    <s v="Sortfiler Multipurpose Personal File Organizer, Black"/>
    <x v="82"/>
    <n v="1"/>
    <n v="0"/>
    <x v="82"/>
  </r>
  <r>
    <n v="84"/>
    <x v="38"/>
    <x v="37"/>
    <x v="37"/>
    <x v="1"/>
    <s v="JC-16105"/>
    <x v="36"/>
    <x v="1"/>
    <s v="United States"/>
    <s v="Durham"/>
    <x v="3"/>
    <n v="27707"/>
    <x v="0"/>
    <s v="OFF-EN-10000927"/>
    <x v="1"/>
    <x v="12"/>
    <s v="Jet-Pak Recycled Peel 'N' Seal Padded Mailers"/>
    <x v="83"/>
    <n v="7"/>
    <n v="0.2"/>
    <x v="83"/>
  </r>
  <r>
    <n v="85"/>
    <x v="39"/>
    <x v="38"/>
    <x v="38"/>
    <x v="2"/>
    <s v="CS-12400"/>
    <x v="37"/>
    <x v="2"/>
    <s v="United States"/>
    <s v="Chicago"/>
    <x v="10"/>
    <n v="60623"/>
    <x v="2"/>
    <s v="OFF-ST-10003656"/>
    <x v="1"/>
    <x v="4"/>
    <s v="Safco Industrial Wire Shelving"/>
    <x v="84"/>
    <n v="3"/>
    <n v="0.2"/>
    <x v="84"/>
  </r>
  <r>
    <n v="86"/>
    <x v="40"/>
    <x v="39"/>
    <x v="39"/>
    <x v="0"/>
    <s v="PO-18865"/>
    <x v="22"/>
    <x v="0"/>
    <s v="United States"/>
    <s v="Columbia"/>
    <x v="20"/>
    <n v="29203"/>
    <x v="0"/>
    <s v="FUR-CH-10000863"/>
    <x v="0"/>
    <x v="1"/>
    <s v="Novimex Swivel Fabric Task Chair"/>
    <x v="85"/>
    <n v="2"/>
    <n v="0"/>
    <x v="85"/>
  </r>
  <r>
    <n v="87"/>
    <x v="41"/>
    <x v="40"/>
    <x v="40"/>
    <x v="1"/>
    <s v="PG-18895"/>
    <x v="38"/>
    <x v="0"/>
    <s v="United States"/>
    <s v="Rochester"/>
    <x v="11"/>
    <n v="55901"/>
    <x v="2"/>
    <s v="TEC-AC-10001998"/>
    <x v="2"/>
    <x v="11"/>
    <s v="Logitech LS21 Speaker System - PC Multimedia - 2.1-CH - Wired"/>
    <x v="86"/>
    <n v="1"/>
    <n v="0"/>
    <x v="86"/>
  </r>
  <r>
    <n v="88"/>
    <x v="41"/>
    <x v="40"/>
    <x v="40"/>
    <x v="1"/>
    <s v="PG-18895"/>
    <x v="38"/>
    <x v="0"/>
    <s v="United States"/>
    <s v="Rochester"/>
    <x v="11"/>
    <n v="55901"/>
    <x v="2"/>
    <s v="OFF-LA-10000134"/>
    <x v="1"/>
    <x v="2"/>
    <s v="Avery 511"/>
    <x v="51"/>
    <n v="2"/>
    <n v="0"/>
    <x v="51"/>
  </r>
  <r>
    <n v="89"/>
    <x v="42"/>
    <x v="41"/>
    <x v="41"/>
    <x v="0"/>
    <s v="GM-14455"/>
    <x v="39"/>
    <x v="2"/>
    <s v="United States"/>
    <s v="Houston"/>
    <x v="5"/>
    <n v="77095"/>
    <x v="2"/>
    <s v="OFF-ST-10003442"/>
    <x v="1"/>
    <x v="4"/>
    <s v="Eldon Portable Mobile Manager"/>
    <x v="87"/>
    <n v="7"/>
    <n v="0.2"/>
    <x v="87"/>
  </r>
  <r>
    <n v="90"/>
    <x v="43"/>
    <x v="42"/>
    <x v="42"/>
    <x v="1"/>
    <s v="JS-15685"/>
    <x v="40"/>
    <x v="1"/>
    <s v="United States"/>
    <s v="Los Angeles"/>
    <x v="1"/>
    <n v="90036"/>
    <x v="1"/>
    <s v="OFF-AR-10004930"/>
    <x v="1"/>
    <x v="6"/>
    <s v="Turquoise Lead Holder with Pocket Clip"/>
    <x v="88"/>
    <n v="3"/>
    <n v="0"/>
    <x v="88"/>
  </r>
  <r>
    <n v="91"/>
    <x v="43"/>
    <x v="42"/>
    <x v="42"/>
    <x v="1"/>
    <s v="JS-15685"/>
    <x v="40"/>
    <x v="1"/>
    <s v="United States"/>
    <s v="Los Angeles"/>
    <x v="1"/>
    <n v="90036"/>
    <x v="1"/>
    <s v="TEC-PH-10004093"/>
    <x v="2"/>
    <x v="7"/>
    <s v="Panasonic Kx-TS550"/>
    <x v="89"/>
    <n v="2"/>
    <n v="0.2"/>
    <x v="89"/>
  </r>
  <r>
    <n v="92"/>
    <x v="43"/>
    <x v="42"/>
    <x v="42"/>
    <x v="1"/>
    <s v="JS-15685"/>
    <x v="40"/>
    <x v="1"/>
    <s v="United States"/>
    <s v="Los Angeles"/>
    <x v="1"/>
    <n v="90036"/>
    <x v="1"/>
    <s v="OFF-PA-10000304"/>
    <x v="1"/>
    <x v="10"/>
    <s v="Xerox 1995"/>
    <x v="90"/>
    <n v="1"/>
    <n v="0"/>
    <x v="90"/>
  </r>
  <r>
    <n v="93"/>
    <x v="44"/>
    <x v="43"/>
    <x v="43"/>
    <x v="0"/>
    <s v="KB-16315"/>
    <x v="41"/>
    <x v="0"/>
    <s v="United States"/>
    <s v="Minneapolis"/>
    <x v="11"/>
    <n v="55407"/>
    <x v="2"/>
    <s v="OFF-PA-10003177"/>
    <x v="1"/>
    <x v="10"/>
    <s v="Xerox 1999"/>
    <x v="91"/>
    <n v="2"/>
    <n v="0"/>
    <x v="91"/>
  </r>
  <r>
    <n v="94"/>
    <x v="44"/>
    <x v="43"/>
    <x v="43"/>
    <x v="0"/>
    <s v="KB-16315"/>
    <x v="41"/>
    <x v="0"/>
    <s v="United States"/>
    <s v="Minneapolis"/>
    <x v="11"/>
    <n v="55407"/>
    <x v="2"/>
    <s v="FUR-FU-10003799"/>
    <x v="0"/>
    <x v="5"/>
    <s v="Seth Thomas 13 1/2&quot; Wall Clock"/>
    <x v="92"/>
    <n v="3"/>
    <n v="0"/>
    <x v="92"/>
  </r>
  <r>
    <n v="95"/>
    <x v="44"/>
    <x v="43"/>
    <x v="43"/>
    <x v="0"/>
    <s v="KB-16315"/>
    <x v="41"/>
    <x v="0"/>
    <s v="United States"/>
    <s v="Minneapolis"/>
    <x v="11"/>
    <n v="55407"/>
    <x v="2"/>
    <s v="OFF-BI-10002852"/>
    <x v="1"/>
    <x v="8"/>
    <s v="Ibico Standard Transparent Covers"/>
    <x v="93"/>
    <n v="2"/>
    <n v="0"/>
    <x v="93"/>
  </r>
  <r>
    <n v="96"/>
    <x v="45"/>
    <x v="44"/>
    <x v="44"/>
    <x v="1"/>
    <s v="RB-19705"/>
    <x v="42"/>
    <x v="2"/>
    <s v="United States"/>
    <s v="Portland"/>
    <x v="21"/>
    <n v="97206"/>
    <x v="1"/>
    <s v="OFF-BI-10004738"/>
    <x v="1"/>
    <x v="8"/>
    <s v="Flexible Leather- Look Classic Collection Ring Binder"/>
    <x v="94"/>
    <n v="1"/>
    <n v="0.7"/>
    <x v="94"/>
  </r>
  <r>
    <n v="97"/>
    <x v="46"/>
    <x v="45"/>
    <x v="45"/>
    <x v="0"/>
    <s v="PN-18775"/>
    <x v="43"/>
    <x v="2"/>
    <s v="United States"/>
    <s v="New York City"/>
    <x v="15"/>
    <n v="10009"/>
    <x v="3"/>
    <s v="FUR-FU-10000629"/>
    <x v="0"/>
    <x v="5"/>
    <s v="9-3/4 Diameter Round Wall Clock"/>
    <x v="95"/>
    <n v="7"/>
    <n v="0"/>
    <x v="95"/>
  </r>
  <r>
    <n v="98"/>
    <x v="47"/>
    <x v="46"/>
    <x v="46"/>
    <x v="2"/>
    <s v="KD-16345"/>
    <x v="44"/>
    <x v="0"/>
    <s v="United States"/>
    <s v="San Francisco"/>
    <x v="1"/>
    <n v="94122"/>
    <x v="1"/>
    <s v="OFF-BI-10001721"/>
    <x v="1"/>
    <x v="8"/>
    <s v="Trimflex Flexible Post Binders"/>
    <x v="96"/>
    <n v="3"/>
    <n v="0.2"/>
    <x v="96"/>
  </r>
  <r>
    <n v="99"/>
    <x v="48"/>
    <x v="47"/>
    <x v="47"/>
    <x v="1"/>
    <s v="ER-13855"/>
    <x v="45"/>
    <x v="1"/>
    <s v="United States"/>
    <s v="Saint Paul"/>
    <x v="11"/>
    <n v="55106"/>
    <x v="2"/>
    <s v="OFF-AP-10000358"/>
    <x v="1"/>
    <x v="9"/>
    <s v="Fellowes Basic Home/Office Series Surge Protectors"/>
    <x v="42"/>
    <n v="6"/>
    <n v="0"/>
    <x v="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F25D0C-811D-4AC7-B73A-FD32C6DABA7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1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5">
        <item x="11"/>
        <item x="9"/>
        <item x="6"/>
        <item x="8"/>
        <item x="0"/>
        <item x="1"/>
        <item x="12"/>
        <item x="13"/>
        <item x="5"/>
        <item x="2"/>
        <item x="10"/>
        <item x="7"/>
        <item x="4"/>
        <item x="3"/>
        <item t="default"/>
      </items>
    </pivotField>
    <pivotField showAll="0"/>
    <pivotField numFmtId="44" showAll="0"/>
    <pivotField dataField="1" showAll="0"/>
    <pivotField numFmtId="164" showAll="0"/>
    <pivotField numFmtId="164" showAll="0"/>
    <pivotField showAll="0">
      <items count="7">
        <item x="0"/>
        <item x="1"/>
        <item x="2"/>
        <item x="3"/>
        <item x="4"/>
        <item x="5"/>
        <item t="default"/>
      </items>
    </pivotField>
  </pivotFields>
  <rowFields count="1">
    <field x="15"/>
  </rowFields>
  <rowItems count="15">
    <i>
      <x/>
    </i>
    <i>
      <x v="1"/>
    </i>
    <i>
      <x v="2"/>
    </i>
    <i>
      <x v="3"/>
    </i>
    <i>
      <x v="4"/>
    </i>
    <i>
      <x v="5"/>
    </i>
    <i>
      <x v="6"/>
    </i>
    <i>
      <x v="7"/>
    </i>
    <i>
      <x v="8"/>
    </i>
    <i>
      <x v="9"/>
    </i>
    <i>
      <x v="10"/>
    </i>
    <i>
      <x v="11"/>
    </i>
    <i>
      <x v="12"/>
    </i>
    <i>
      <x v="13"/>
    </i>
    <i t="grand">
      <x/>
    </i>
  </rowItems>
  <colItems count="1">
    <i/>
  </colItems>
  <dataFields count="1">
    <dataField name="Sum of Quantity" fld="1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DCDA59-0010-43F5-AB16-C2F92F8DABE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22" firstHeaderRow="1" firstDataRow="1" firstDataCol="1"/>
  <pivotFields count="22">
    <pivotField showAll="0"/>
    <pivotField showAll="0">
      <items count="50">
        <item x="7"/>
        <item x="29"/>
        <item x="3"/>
        <item x="37"/>
        <item x="9"/>
        <item x="22"/>
        <item x="8"/>
        <item x="12"/>
        <item x="24"/>
        <item x="17"/>
        <item x="27"/>
        <item x="44"/>
        <item x="38"/>
        <item x="19"/>
        <item x="25"/>
        <item x="31"/>
        <item x="43"/>
        <item x="26"/>
        <item x="16"/>
        <item x="21"/>
        <item x="30"/>
        <item x="13"/>
        <item x="36"/>
        <item x="10"/>
        <item x="1"/>
        <item x="48"/>
        <item x="0"/>
        <item x="42"/>
        <item x="5"/>
        <item x="23"/>
        <item x="15"/>
        <item x="4"/>
        <item x="32"/>
        <item x="18"/>
        <item x="20"/>
        <item x="40"/>
        <item x="41"/>
        <item x="47"/>
        <item x="46"/>
        <item x="35"/>
        <item x="2"/>
        <item x="6"/>
        <item x="33"/>
        <item x="14"/>
        <item x="28"/>
        <item x="45"/>
        <item x="34"/>
        <item x="39"/>
        <item x="11"/>
        <item t="default"/>
      </items>
    </pivotField>
    <pivotField axis="axisRow" numFmtId="14" showAll="0">
      <items count="7">
        <item x="0"/>
        <item x="1"/>
        <item x="2"/>
        <item x="3"/>
        <item x="4"/>
        <item x="5"/>
        <item t="default"/>
      </items>
    </pivotField>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44" showAll="0"/>
    <pivotField showAll="0"/>
    <pivotField numFmtId="164" showAll="0"/>
    <pivotField numFmtId="164" showAll="0"/>
    <pivotField axis="axisRow" showAll="0">
      <items count="7">
        <item x="0"/>
        <item x="1"/>
        <item x="2"/>
        <item x="3"/>
        <item x="4"/>
        <item x="5"/>
        <item t="default"/>
      </items>
    </pivotField>
  </pivotFields>
  <rowFields count="2">
    <field x="21"/>
    <field x="2"/>
  </rowFields>
  <rowItems count="19">
    <i>
      <x v="1"/>
    </i>
    <i r="1">
      <x v="2"/>
    </i>
    <i r="1">
      <x v="3"/>
    </i>
    <i r="1">
      <x v="4"/>
    </i>
    <i>
      <x v="2"/>
    </i>
    <i r="1">
      <x v="1"/>
    </i>
    <i r="1">
      <x v="2"/>
    </i>
    <i r="1">
      <x v="3"/>
    </i>
    <i r="1">
      <x v="4"/>
    </i>
    <i>
      <x v="3"/>
    </i>
    <i r="1">
      <x v="1"/>
    </i>
    <i r="1">
      <x v="2"/>
    </i>
    <i r="1">
      <x v="3"/>
    </i>
    <i r="1">
      <x v="4"/>
    </i>
    <i>
      <x v="4"/>
    </i>
    <i r="1">
      <x v="2"/>
    </i>
    <i r="1">
      <x v="3"/>
    </i>
    <i r="1">
      <x v="4"/>
    </i>
    <i t="grand">
      <x/>
    </i>
  </rowItems>
  <colItems count="1">
    <i/>
  </colItems>
  <dataFields count="1">
    <dataField name="Sum of Sales" fld="17" baseField="0" baseItem="0" numFmtId="1"/>
  </dataFields>
  <formats count="1">
    <format dxfId="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5D9D51-4CC4-4A8B-BEF3-F3662D33A57B}"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7" firstHeaderRow="1" firstDataRow="1" firstDataCol="1"/>
  <pivotFields count="22">
    <pivotField showAll="0"/>
    <pivotField showAll="0"/>
    <pivotField numFmtId="14" showAll="0"/>
    <pivotField numFmtId="14" showAll="0"/>
    <pivotField showAll="0">
      <items count="4">
        <item x="2"/>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numFmtId="44" showAll="0"/>
    <pivotField dataField="1" showAll="0"/>
    <pivotField numFmtId="164" showAll="0"/>
    <pivotField numFmtId="164" showAll="0"/>
    <pivotField showAll="0" defaultSubtotal="0"/>
  </pivotFields>
  <rowFields count="1">
    <field x="7"/>
  </rowFields>
  <rowItems count="4">
    <i>
      <x/>
    </i>
    <i>
      <x v="1"/>
    </i>
    <i>
      <x v="2"/>
    </i>
    <i t="grand">
      <x/>
    </i>
  </rowItems>
  <colItems count="1">
    <i/>
  </colItems>
  <dataFields count="1">
    <dataField name="Sum of Quantity" fld="18"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0"/>
          </reference>
        </references>
      </pivotArea>
    </chartFormat>
    <chartFormat chart="2" format="7">
      <pivotArea type="data" outline="0" fieldPosition="0">
        <references count="2">
          <reference field="4294967294" count="1" selected="0">
            <x v="0"/>
          </reference>
          <reference field="7" count="1" selected="0">
            <x v="1"/>
          </reference>
        </references>
      </pivotArea>
    </chartFormat>
    <chartFormat chart="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0EE949-2602-454D-9532-83071F8141CF}"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8" firstHeaderRow="1" firstDataRow="1" firstDataCol="1"/>
  <pivotFields count="22">
    <pivotField showAll="0"/>
    <pivotField showAll="0"/>
    <pivotField numFmtId="14" showAll="0"/>
    <pivotField numFmtId="14" showAll="0"/>
    <pivotField showAll="0">
      <items count="4">
        <item x="2"/>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44" showAll="0"/>
    <pivotField showAll="0"/>
    <pivotField numFmtId="164" showAll="0"/>
    <pivotField dataField="1" numFmtId="164" showAll="0"/>
    <pivotField showAll="0" defaultSubtotal="0"/>
  </pivotFields>
  <rowFields count="1">
    <field x="12"/>
  </rowFields>
  <rowItems count="5">
    <i>
      <x/>
    </i>
    <i>
      <x v="1"/>
    </i>
    <i>
      <x v="2"/>
    </i>
    <i>
      <x v="3"/>
    </i>
    <i t="grand">
      <x/>
    </i>
  </rowItems>
  <colItems count="1">
    <i/>
  </colItems>
  <dataFields count="1">
    <dataField name="Sum of Profit" fld="20" baseField="0" baseItem="0" numFmtId="1"/>
  </dataFields>
  <formats count="1">
    <format dxfId="4">
      <pivotArea outline="0" collapsedLevelsAreSubtotals="1" fieldPosition="0"/>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1"/>
          </reference>
        </references>
      </pivotArea>
    </chartFormat>
    <chartFormat chart="1" format="4">
      <pivotArea type="data" outline="0" fieldPosition="0">
        <references count="2">
          <reference field="4294967294" count="1" selected="0">
            <x v="0"/>
          </reference>
          <reference field="12" count="1" selected="0">
            <x v="2"/>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A1ADA2-0BE3-4C33-BDCC-84711353BDB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3">
  <location ref="A3:B22"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64" showAll="0">
      <items count="98">
        <item x="75"/>
        <item x="61"/>
        <item x="15"/>
        <item x="30"/>
        <item x="70"/>
        <item x="94"/>
        <item x="51"/>
        <item x="90"/>
        <item x="32"/>
        <item x="6"/>
        <item x="18"/>
        <item x="28"/>
        <item x="76"/>
        <item x="25"/>
        <item x="91"/>
        <item x="62"/>
        <item x="58"/>
        <item x="2"/>
        <item x="81"/>
        <item x="53"/>
        <item x="12"/>
        <item x="33"/>
        <item x="80"/>
        <item x="45"/>
        <item x="8"/>
        <item x="71"/>
        <item x="78"/>
        <item x="21"/>
        <item x="86"/>
        <item x="88"/>
        <item x="82"/>
        <item x="48"/>
        <item x="4"/>
        <item x="20"/>
        <item x="63"/>
        <item x="77"/>
        <item x="34"/>
        <item x="59"/>
        <item x="56"/>
        <item x="93"/>
        <item x="49"/>
        <item x="47"/>
        <item x="44"/>
        <item x="60"/>
        <item x="5"/>
        <item x="96"/>
        <item x="92"/>
        <item x="17"/>
        <item x="22"/>
        <item x="14"/>
        <item x="23"/>
        <item x="74"/>
        <item x="89"/>
        <item x="50"/>
        <item x="69"/>
        <item x="42"/>
        <item x="65"/>
        <item x="31"/>
        <item x="52"/>
        <item x="26"/>
        <item x="43"/>
        <item x="95"/>
        <item x="73"/>
        <item x="37"/>
        <item x="9"/>
        <item x="29"/>
        <item x="64"/>
        <item x="41"/>
        <item x="87"/>
        <item x="68"/>
        <item x="36"/>
        <item x="83"/>
        <item x="79"/>
        <item x="55"/>
        <item x="46"/>
        <item x="39"/>
        <item x="66"/>
        <item x="19"/>
        <item x="84"/>
        <item x="0"/>
        <item x="85"/>
        <item x="57"/>
        <item x="40"/>
        <item x="13"/>
        <item x="38"/>
        <item x="16"/>
        <item x="1"/>
        <item x="72"/>
        <item x="7"/>
        <item x="11"/>
        <item x="3"/>
        <item x="54"/>
        <item x="24"/>
        <item x="35"/>
        <item x="67"/>
        <item x="10"/>
        <item x="27"/>
        <item t="default"/>
      </items>
    </pivotField>
    <pivotField showAll="0"/>
    <pivotField numFmtId="164" showAll="0"/>
    <pivotField numFmtId="164" showAll="0"/>
    <pivotField axis="axisRow" showAll="0">
      <items count="7">
        <item x="0"/>
        <item x="1"/>
        <item x="2"/>
        <item x="3"/>
        <item x="4"/>
        <item x="5"/>
        <item t="default"/>
      </items>
    </pivotField>
  </pivotFields>
  <rowFields count="2">
    <field x="21"/>
    <field x="2"/>
  </rowFields>
  <rowItems count="19">
    <i>
      <x v="1"/>
    </i>
    <i r="1">
      <x v="2"/>
    </i>
    <i r="1">
      <x v="3"/>
    </i>
    <i r="1">
      <x v="4"/>
    </i>
    <i>
      <x v="2"/>
    </i>
    <i r="1">
      <x v="1"/>
    </i>
    <i r="1">
      <x v="2"/>
    </i>
    <i r="1">
      <x v="3"/>
    </i>
    <i r="1">
      <x v="4"/>
    </i>
    <i>
      <x v="3"/>
    </i>
    <i r="1">
      <x v="1"/>
    </i>
    <i r="1">
      <x v="2"/>
    </i>
    <i r="1">
      <x v="3"/>
    </i>
    <i r="1">
      <x v="4"/>
    </i>
    <i>
      <x v="4"/>
    </i>
    <i r="1">
      <x v="2"/>
    </i>
    <i r="1">
      <x v="3"/>
    </i>
    <i r="1">
      <x v="4"/>
    </i>
    <i t="grand">
      <x/>
    </i>
  </rowItems>
  <colItems count="1">
    <i/>
  </colItems>
  <dataFields count="1">
    <dataField name="Sum of Sales" fld="17" baseField="0" baseItem="0" numFmtId="1"/>
  </dataFields>
  <formats count="1">
    <format dxfId="3">
      <pivotArea outline="0" collapsedLevelsAreSubtotals="1" fieldPosition="0"/>
    </format>
  </formats>
  <chartFormats count="2">
    <chartFormat chart="27" format="0" series="1">
      <pivotArea type="data" outline="0" fieldPosition="0">
        <references count="1">
          <reference field="4294967294" count="1" selected="0">
            <x v="0"/>
          </reference>
        </references>
      </pivotArea>
    </chartFormat>
    <chartFormat chart="27" format="3">
      <pivotArea type="data" outline="0" fieldPosition="0">
        <references count="3">
          <reference field="4294967294" count="1" selected="0">
            <x v="0"/>
          </reference>
          <reference field="2" count="1" selected="0">
            <x v="3"/>
          </reference>
          <reference field="2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CF2147-B5AC-4D04-833F-362E9C8F5194}"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Row" showAll="0">
      <items count="15">
        <item x="11"/>
        <item x="9"/>
        <item x="6"/>
        <item x="8"/>
        <item x="0"/>
        <item x="1"/>
        <item x="12"/>
        <item x="13"/>
        <item x="5"/>
        <item x="2"/>
        <item x="10"/>
        <item x="7"/>
        <item x="4"/>
        <item x="3"/>
        <item t="default"/>
      </items>
    </pivotField>
    <pivotField showAll="0"/>
    <pivotField dataField="1" numFmtId="164" showAll="0"/>
    <pivotField showAll="0"/>
    <pivotField numFmtId="164" showAll="0"/>
    <pivotField numFmtId="164" showAll="0"/>
    <pivotField showAll="0">
      <items count="7">
        <item x="0"/>
        <item x="1"/>
        <item x="2"/>
        <item x="3"/>
        <item x="4"/>
        <item x="5"/>
        <item t="default"/>
      </items>
    </pivotField>
  </pivotFields>
  <rowFields count="2">
    <field x="14"/>
    <field x="15"/>
  </rowFields>
  <rowItems count="18">
    <i>
      <x/>
    </i>
    <i r="1">
      <x v="4"/>
    </i>
    <i r="1">
      <x v="5"/>
    </i>
    <i r="1">
      <x v="8"/>
    </i>
    <i r="1">
      <x v="13"/>
    </i>
    <i>
      <x v="1"/>
    </i>
    <i r="1">
      <x v="1"/>
    </i>
    <i r="1">
      <x v="2"/>
    </i>
    <i r="1">
      <x v="3"/>
    </i>
    <i r="1">
      <x v="6"/>
    </i>
    <i r="1">
      <x v="7"/>
    </i>
    <i r="1">
      <x v="9"/>
    </i>
    <i r="1">
      <x v="10"/>
    </i>
    <i r="1">
      <x v="12"/>
    </i>
    <i>
      <x v="2"/>
    </i>
    <i r="1">
      <x/>
    </i>
    <i r="1">
      <x v="11"/>
    </i>
    <i t="grand">
      <x/>
    </i>
  </rowItems>
  <colItems count="1">
    <i/>
  </colItems>
  <dataFields count="1">
    <dataField name="Sum of Sales" fld="17" baseField="0" baseItem="0" numFmtId="1"/>
  </dataFields>
  <formats count="1">
    <format dxfId="2">
      <pivotArea outline="0" collapsedLevelsAreSubtotals="1" fieldPosition="0"/>
    </format>
  </formats>
  <chartFormats count="1">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4A158C-85C8-4DC2-AE13-D295B9E4E7F9}"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C8" firstHeaderRow="0" firstDataRow="1" firstDataCol="1"/>
  <pivotFields count="22">
    <pivotField showAll="0"/>
    <pivotField showAll="0"/>
    <pivotField numFmtId="14" showAll="0">
      <items count="7">
        <item x="0"/>
        <item x="1"/>
        <item x="2"/>
        <item x="3"/>
        <item x="4"/>
        <item x="5"/>
        <item t="default"/>
      </items>
    </pivotField>
    <pivotField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numFmtId="164" showAll="0"/>
    <pivotField showAll="0"/>
    <pivotField numFmtId="164" showAll="0"/>
    <pivotField dataField="1" numFmtId="164" showAll="0"/>
    <pivotField showAll="0">
      <items count="7">
        <item x="0"/>
        <item x="1"/>
        <item x="2"/>
        <item x="3"/>
        <item x="4"/>
        <item x="5"/>
        <item t="default"/>
      </items>
    </pivotField>
  </pivotFields>
  <rowFields count="1">
    <field x="12"/>
  </rowFields>
  <rowItems count="5">
    <i>
      <x/>
    </i>
    <i>
      <x v="1"/>
    </i>
    <i>
      <x v="2"/>
    </i>
    <i>
      <x v="3"/>
    </i>
    <i t="grand">
      <x/>
    </i>
  </rowItems>
  <colFields count="1">
    <field x="-2"/>
  </colFields>
  <colItems count="2">
    <i>
      <x/>
    </i>
    <i i="1">
      <x v="1"/>
    </i>
  </colItems>
  <dataFields count="2">
    <dataField name="Sum of Sales" fld="17" baseField="0" baseItem="0"/>
    <dataField name="Sum of Profit" fld="20" baseField="0" baseItem="0"/>
  </dataFields>
  <formats count="1">
    <format dxfId="1">
      <pivotArea outline="0" collapsedLevelsAreSubtotals="1" fieldPosition="0"/>
    </format>
  </format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A739D0-59A7-4040-899A-4A4C0E311AD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4">
  <location ref="A3:C7" firstHeaderRow="0" firstDataRow="1" firstDataCol="1"/>
  <pivotFields count="22">
    <pivotField showAll="0"/>
    <pivotField showAll="0"/>
    <pivotField numFmtId="14" showAll="0">
      <items count="7">
        <item x="0"/>
        <item x="1"/>
        <item x="2"/>
        <item x="3"/>
        <item x="4"/>
        <item x="5"/>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4" showAll="0"/>
    <pivotField showAll="0"/>
    <pivotField numFmtId="164" showAll="0"/>
    <pivotField dataField="1" numFmtId="164" showAll="0"/>
    <pivotField showAll="0">
      <items count="7">
        <item x="0"/>
        <item x="1"/>
        <item x="2"/>
        <item x="3"/>
        <item x="4"/>
        <item x="5"/>
        <item t="default"/>
      </items>
    </pivotField>
  </pivotFields>
  <rowFields count="1">
    <field x="7"/>
  </rowFields>
  <rowItems count="4">
    <i>
      <x/>
    </i>
    <i>
      <x v="1"/>
    </i>
    <i>
      <x v="2"/>
    </i>
    <i t="grand">
      <x/>
    </i>
  </rowItems>
  <colFields count="1">
    <field x="-2"/>
  </colFields>
  <colItems count="2">
    <i>
      <x/>
    </i>
    <i i="1">
      <x v="1"/>
    </i>
  </colItems>
  <dataFields count="2">
    <dataField name="Sum of Sales" fld="17" baseField="0" baseItem="0"/>
    <dataField name="Sum of Profit" fld="20" baseField="0" baseItem="0"/>
  </dataFields>
  <formats count="1">
    <format dxfId="0">
      <pivotArea outline="0" collapsedLevelsAreSubtotals="1" fieldPosition="0"/>
    </format>
  </formats>
  <chartFormats count="24">
    <chartFormat chart="17" format="9" series="1">
      <pivotArea type="data" outline="0" fieldPosition="0">
        <references count="1">
          <reference field="4294967294" count="1" selected="0">
            <x v="1"/>
          </reference>
        </references>
      </pivotArea>
    </chartFormat>
    <chartFormat chart="17" format="10" series="1">
      <pivotArea type="data" outline="0" fieldPosition="0">
        <references count="1">
          <reference field="4294967294" count="1" selected="0">
            <x v="0"/>
          </reference>
        </references>
      </pivotArea>
    </chartFormat>
    <chartFormat chart="17" format="11">
      <pivotArea type="data" outline="0" fieldPosition="0">
        <references count="2">
          <reference field="4294967294" count="1" selected="0">
            <x v="0"/>
          </reference>
          <reference field="7" count="1" selected="0">
            <x v="0"/>
          </reference>
        </references>
      </pivotArea>
    </chartFormat>
    <chartFormat chart="17" format="12">
      <pivotArea type="data" outline="0" fieldPosition="0">
        <references count="2">
          <reference field="4294967294" count="1" selected="0">
            <x v="0"/>
          </reference>
          <reference field="7" count="1" selected="0">
            <x v="1"/>
          </reference>
        </references>
      </pivotArea>
    </chartFormat>
    <chartFormat chart="17" format="13">
      <pivotArea type="data" outline="0" fieldPosition="0">
        <references count="2">
          <reference field="4294967294" count="1" selected="0">
            <x v="0"/>
          </reference>
          <reference field="7" count="1" selected="0">
            <x v="2"/>
          </reference>
        </references>
      </pivotArea>
    </chartFormat>
    <chartFormat chart="17" format="14">
      <pivotArea type="data" outline="0" fieldPosition="0">
        <references count="2">
          <reference field="4294967294" count="1" selected="0">
            <x v="1"/>
          </reference>
          <reference field="7" count="1" selected="0">
            <x v="0"/>
          </reference>
        </references>
      </pivotArea>
    </chartFormat>
    <chartFormat chart="17" format="15">
      <pivotArea type="data" outline="0" fieldPosition="0">
        <references count="2">
          <reference field="4294967294" count="1" selected="0">
            <x v="1"/>
          </reference>
          <reference field="7" count="1" selected="0">
            <x v="1"/>
          </reference>
        </references>
      </pivotArea>
    </chartFormat>
    <chartFormat chart="17" format="16">
      <pivotArea type="data" outline="0" fieldPosition="0">
        <references count="2">
          <reference field="4294967294" count="1" selected="0">
            <x v="1"/>
          </reference>
          <reference field="7" count="1" selected="0">
            <x v="2"/>
          </reference>
        </references>
      </pivotArea>
    </chartFormat>
    <chartFormat chart="21" format="25" series="1">
      <pivotArea type="data" outline="0" fieldPosition="0">
        <references count="1">
          <reference field="4294967294" count="1" selected="0">
            <x v="0"/>
          </reference>
        </references>
      </pivotArea>
    </chartFormat>
    <chartFormat chart="21" format="26">
      <pivotArea type="data" outline="0" fieldPosition="0">
        <references count="2">
          <reference field="4294967294" count="1" selected="0">
            <x v="0"/>
          </reference>
          <reference field="7" count="1" selected="0">
            <x v="0"/>
          </reference>
        </references>
      </pivotArea>
    </chartFormat>
    <chartFormat chart="21" format="27">
      <pivotArea type="data" outline="0" fieldPosition="0">
        <references count="2">
          <reference field="4294967294" count="1" selected="0">
            <x v="0"/>
          </reference>
          <reference field="7" count="1" selected="0">
            <x v="1"/>
          </reference>
        </references>
      </pivotArea>
    </chartFormat>
    <chartFormat chart="21" format="28">
      <pivotArea type="data" outline="0" fieldPosition="0">
        <references count="2">
          <reference field="4294967294" count="1" selected="0">
            <x v="0"/>
          </reference>
          <reference field="7" count="1" selected="0">
            <x v="2"/>
          </reference>
        </references>
      </pivotArea>
    </chartFormat>
    <chartFormat chart="21" format="29" series="1">
      <pivotArea type="data" outline="0" fieldPosition="0">
        <references count="1">
          <reference field="4294967294" count="1" selected="0">
            <x v="1"/>
          </reference>
        </references>
      </pivotArea>
    </chartFormat>
    <chartFormat chart="21" format="30">
      <pivotArea type="data" outline="0" fieldPosition="0">
        <references count="2">
          <reference field="4294967294" count="1" selected="0">
            <x v="1"/>
          </reference>
          <reference field="7" count="1" selected="0">
            <x v="0"/>
          </reference>
        </references>
      </pivotArea>
    </chartFormat>
    <chartFormat chart="21" format="31">
      <pivotArea type="data" outline="0" fieldPosition="0">
        <references count="2">
          <reference field="4294967294" count="1" selected="0">
            <x v="1"/>
          </reference>
          <reference field="7" count="1" selected="0">
            <x v="1"/>
          </reference>
        </references>
      </pivotArea>
    </chartFormat>
    <chartFormat chart="21" format="32">
      <pivotArea type="data" outline="0" fieldPosition="0">
        <references count="2">
          <reference field="4294967294" count="1" selected="0">
            <x v="1"/>
          </reference>
          <reference field="7" count="1" selected="0">
            <x v="2"/>
          </reference>
        </references>
      </pivotArea>
    </chartFormat>
    <chartFormat chart="23" format="41" series="1">
      <pivotArea type="data" outline="0" fieldPosition="0">
        <references count="1">
          <reference field="4294967294" count="1" selected="0">
            <x v="0"/>
          </reference>
        </references>
      </pivotArea>
    </chartFormat>
    <chartFormat chart="23" format="42">
      <pivotArea type="data" outline="0" fieldPosition="0">
        <references count="2">
          <reference field="4294967294" count="1" selected="0">
            <x v="0"/>
          </reference>
          <reference field="7" count="1" selected="0">
            <x v="0"/>
          </reference>
        </references>
      </pivotArea>
    </chartFormat>
    <chartFormat chart="23" format="43">
      <pivotArea type="data" outline="0" fieldPosition="0">
        <references count="2">
          <reference field="4294967294" count="1" selected="0">
            <x v="0"/>
          </reference>
          <reference field="7" count="1" selected="0">
            <x v="1"/>
          </reference>
        </references>
      </pivotArea>
    </chartFormat>
    <chartFormat chart="23" format="44">
      <pivotArea type="data" outline="0" fieldPosition="0">
        <references count="2">
          <reference field="4294967294" count="1" selected="0">
            <x v="0"/>
          </reference>
          <reference field="7" count="1" selected="0">
            <x v="2"/>
          </reference>
        </references>
      </pivotArea>
    </chartFormat>
    <chartFormat chart="23" format="45" series="1">
      <pivotArea type="data" outline="0" fieldPosition="0">
        <references count="1">
          <reference field="4294967294" count="1" selected="0">
            <x v="1"/>
          </reference>
        </references>
      </pivotArea>
    </chartFormat>
    <chartFormat chart="23" format="46">
      <pivotArea type="data" outline="0" fieldPosition="0">
        <references count="2">
          <reference field="4294967294" count="1" selected="0">
            <x v="1"/>
          </reference>
          <reference field="7" count="1" selected="0">
            <x v="0"/>
          </reference>
        </references>
      </pivotArea>
    </chartFormat>
    <chartFormat chart="23" format="47">
      <pivotArea type="data" outline="0" fieldPosition="0">
        <references count="2">
          <reference field="4294967294" count="1" selected="0">
            <x v="1"/>
          </reference>
          <reference field="7" count="1" selected="0">
            <x v="1"/>
          </reference>
        </references>
      </pivotArea>
    </chartFormat>
    <chartFormat chart="23" format="48">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452531-FE15-44DC-9A81-20DF980F7419}"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58" firstHeaderRow="1" firstDataRow="4" firstDataCol="1" rowPageCount="3" colPageCount="1"/>
  <pivotFields count="22">
    <pivotField showAll="0"/>
    <pivotField showAll="0"/>
    <pivotField axis="axisPage" numFmtId="14"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x="0"/>
        <item h="1" x="1"/>
        <item h="1"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pivotField dataField="1" showAll="0"/>
    <pivotField numFmtId="164" showAll="0"/>
    <pivotField dataField="1" numFmtId="164" showAll="0"/>
    <pivotField showAll="0">
      <items count="7">
        <item x="0"/>
        <item x="1"/>
        <item x="2"/>
        <item x="3"/>
        <item x="4"/>
        <item x="5"/>
        <item t="default"/>
      </items>
    </pivotField>
  </pivotFields>
  <rowFields count="3">
    <field x="12"/>
    <field x="10"/>
    <field x="14"/>
  </rowFields>
  <rowItems count="50">
    <i>
      <x/>
    </i>
    <i r="1">
      <x v="6"/>
    </i>
    <i r="2">
      <x/>
    </i>
    <i r="2">
      <x v="1"/>
    </i>
    <i r="1">
      <x v="8"/>
    </i>
    <i r="2">
      <x v="1"/>
    </i>
    <i r="1">
      <x v="9"/>
    </i>
    <i r="2">
      <x/>
    </i>
    <i r="2">
      <x v="1"/>
    </i>
    <i r="2">
      <x v="2"/>
    </i>
    <i r="1">
      <x v="17"/>
    </i>
    <i r="2">
      <x/>
    </i>
    <i r="1">
      <x v="21"/>
    </i>
    <i r="2">
      <x v="1"/>
    </i>
    <i>
      <x v="1"/>
    </i>
    <i r="1">
      <x v="3"/>
    </i>
    <i r="2">
      <x v="2"/>
    </i>
    <i r="1">
      <x v="11"/>
    </i>
    <i r="2">
      <x/>
    </i>
    <i r="2">
      <x v="1"/>
    </i>
    <i r="2">
      <x v="2"/>
    </i>
    <i r="1">
      <x v="14"/>
    </i>
    <i r="2">
      <x/>
    </i>
    <i r="2">
      <x v="1"/>
    </i>
    <i>
      <x v="2"/>
    </i>
    <i r="1">
      <x v="4"/>
    </i>
    <i r="2">
      <x/>
    </i>
    <i r="2">
      <x v="1"/>
    </i>
    <i r="1">
      <x v="7"/>
    </i>
    <i r="2">
      <x/>
    </i>
    <i r="1">
      <x v="12"/>
    </i>
    <i r="2">
      <x v="1"/>
    </i>
    <i r="1">
      <x v="15"/>
    </i>
    <i r="2">
      <x/>
    </i>
    <i r="1">
      <x v="16"/>
    </i>
    <i r="2">
      <x/>
    </i>
    <i r="2">
      <x v="1"/>
    </i>
    <i r="1">
      <x v="19"/>
    </i>
    <i r="2">
      <x v="1"/>
    </i>
    <i>
      <x v="3"/>
    </i>
    <i r="1">
      <x v="2"/>
    </i>
    <i r="2">
      <x/>
    </i>
    <i r="2">
      <x v="1"/>
    </i>
    <i r="2">
      <x v="2"/>
    </i>
    <i r="1">
      <x v="18"/>
    </i>
    <i r="2">
      <x/>
    </i>
    <i r="2">
      <x v="1"/>
    </i>
    <i r="1">
      <x v="20"/>
    </i>
    <i r="2">
      <x v="1"/>
    </i>
    <i t="grand">
      <x/>
    </i>
  </rowItems>
  <colFields count="3">
    <field x="7"/>
    <field x="4"/>
    <field x="-2"/>
  </colFields>
  <colItems count="15">
    <i>
      <x/>
      <x/>
      <x/>
    </i>
    <i r="2" i="1">
      <x v="1"/>
    </i>
    <i r="2" i="2">
      <x v="2"/>
    </i>
    <i r="1">
      <x v="1"/>
      <x/>
    </i>
    <i r="2" i="1">
      <x v="1"/>
    </i>
    <i r="2" i="2">
      <x v="2"/>
    </i>
    <i r="1">
      <x v="2"/>
      <x/>
    </i>
    <i r="2" i="1">
      <x v="1"/>
    </i>
    <i r="2" i="2">
      <x v="2"/>
    </i>
    <i t="default">
      <x/>
    </i>
    <i t="default" i="1">
      <x/>
    </i>
    <i t="default" i="2">
      <x/>
    </i>
    <i t="grand">
      <x/>
    </i>
    <i t="grand" i="1">
      <x/>
    </i>
    <i t="grand" i="2">
      <x/>
    </i>
  </colItems>
  <pageFields count="3">
    <pageField fld="2" hier="-1"/>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D5FF2BE-59FA-414E-BFB4-966E49A62A9E}"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47" firstHeaderRow="1" firstDataRow="4" firstDataCol="1" rowPageCount="2" colPageCount="1"/>
  <pivotFields count="22">
    <pivotField showAll="0"/>
    <pivotField showAll="0"/>
    <pivotField axis="axisRow" numFmtId="14"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h="1" x="0"/>
        <item x="1"/>
        <item h="1"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showAll="0"/>
    <pivotField showAll="0"/>
    <pivotField showAll="0"/>
    <pivotField dataField="1" numFmtId="44" showAll="0"/>
    <pivotField dataField="1" showAll="0"/>
    <pivotField numFmtId="164" showAll="0"/>
    <pivotField dataField="1" numFmtId="164" showAll="0"/>
    <pivotField axis="axisRow" showAll="0">
      <items count="7">
        <item x="0"/>
        <item x="1"/>
        <item x="2"/>
        <item x="3"/>
        <item x="4"/>
        <item x="5"/>
        <item t="default"/>
      </items>
    </pivotField>
  </pivotFields>
  <rowFields count="4">
    <field x="12"/>
    <field x="10"/>
    <field x="21"/>
    <field x="2"/>
  </rowFields>
  <rowItems count="39">
    <i>
      <x/>
    </i>
    <i r="1">
      <x v="5"/>
    </i>
    <i r="2">
      <x v="4"/>
    </i>
    <i r="3">
      <x v="3"/>
    </i>
    <i r="1">
      <x v="9"/>
    </i>
    <i r="2">
      <x v="3"/>
    </i>
    <i r="3">
      <x v="1"/>
    </i>
    <i r="3">
      <x v="3"/>
    </i>
    <i r="1">
      <x v="10"/>
    </i>
    <i r="2">
      <x v="3"/>
    </i>
    <i r="3">
      <x v="4"/>
    </i>
    <i r="1">
      <x v="17"/>
    </i>
    <i r="2">
      <x v="3"/>
    </i>
    <i r="3">
      <x v="4"/>
    </i>
    <i r="2">
      <x v="4"/>
    </i>
    <i r="3">
      <x v="4"/>
    </i>
    <i>
      <x v="1"/>
    </i>
    <i r="1">
      <x v="11"/>
    </i>
    <i r="2">
      <x v="3"/>
    </i>
    <i r="3">
      <x v="4"/>
    </i>
    <i>
      <x v="2"/>
    </i>
    <i r="1">
      <x/>
    </i>
    <i r="2">
      <x v="3"/>
    </i>
    <i r="3">
      <x v="2"/>
    </i>
    <i r="1">
      <x v="4"/>
    </i>
    <i r="2">
      <x v="4"/>
    </i>
    <i r="3">
      <x v="3"/>
    </i>
    <i r="1">
      <x v="12"/>
    </i>
    <i r="2">
      <x v="2"/>
    </i>
    <i r="3">
      <x v="3"/>
    </i>
    <i>
      <x v="3"/>
    </i>
    <i r="1">
      <x v="1"/>
    </i>
    <i r="2">
      <x v="1"/>
    </i>
    <i r="3">
      <x v="4"/>
    </i>
    <i r="1">
      <x v="2"/>
    </i>
    <i r="2">
      <x v="3"/>
    </i>
    <i r="3">
      <x v="2"/>
    </i>
    <i r="3">
      <x v="3"/>
    </i>
    <i t="grand">
      <x/>
    </i>
  </rowItems>
  <colFields count="3">
    <field x="7"/>
    <field x="4"/>
    <field x="-2"/>
  </colFields>
  <colItems count="15">
    <i>
      <x v="1"/>
      <x/>
      <x/>
    </i>
    <i r="2" i="1">
      <x v="1"/>
    </i>
    <i r="2" i="2">
      <x v="2"/>
    </i>
    <i r="1">
      <x v="1"/>
      <x/>
    </i>
    <i r="2" i="1">
      <x v="1"/>
    </i>
    <i r="2" i="2">
      <x v="2"/>
    </i>
    <i r="1">
      <x v="2"/>
      <x/>
    </i>
    <i r="2" i="1">
      <x v="1"/>
    </i>
    <i r="2" i="2">
      <x v="2"/>
    </i>
    <i t="default">
      <x v="1"/>
    </i>
    <i t="default" i="1">
      <x v="1"/>
    </i>
    <i t="default" i="2">
      <x v="1"/>
    </i>
    <i t="grand">
      <x/>
    </i>
    <i t="grand" i="1">
      <x/>
    </i>
    <i t="grand" i="2">
      <x/>
    </i>
  </colItems>
  <pageFields count="2">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B40C68-A617-42E8-B4D9-19C0B6698E7A}"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P23" firstHeaderRow="1" firstDataRow="4" firstDataCol="1" rowPageCount="3" colPageCount="1"/>
  <pivotFields count="22">
    <pivotField showAll="0"/>
    <pivotField showAll="0"/>
    <pivotField axis="axisPage" numFmtId="14" multipleItemSelectionAllowed="1" showAll="0">
      <items count="7">
        <item x="0"/>
        <item x="1"/>
        <item x="2"/>
        <item x="3"/>
        <item x="4"/>
        <item x="5"/>
        <item t="default"/>
      </items>
    </pivotField>
    <pivotField axis="axisPage" numFmtId="14" showAll="0">
      <items count="49">
        <item x="8"/>
        <item x="3"/>
        <item x="9"/>
        <item x="36"/>
        <item x="21"/>
        <item x="7"/>
        <item x="34"/>
        <item x="28"/>
        <item x="43"/>
        <item x="23"/>
        <item x="32"/>
        <item x="27"/>
        <item x="37"/>
        <item x="14"/>
        <item x="12"/>
        <item x="2"/>
        <item x="6"/>
        <item x="26"/>
        <item x="16"/>
        <item x="13"/>
        <item x="20"/>
        <item x="41"/>
        <item x="29"/>
        <item x="35"/>
        <item x="1"/>
        <item x="25"/>
        <item x="22"/>
        <item x="18"/>
        <item x="47"/>
        <item x="42"/>
        <item x="30"/>
        <item x="0"/>
        <item x="5"/>
        <item x="10"/>
        <item x="24"/>
        <item x="4"/>
        <item x="39"/>
        <item x="46"/>
        <item x="11"/>
        <item x="17"/>
        <item x="31"/>
        <item x="19"/>
        <item x="15"/>
        <item x="40"/>
        <item x="45"/>
        <item x="44"/>
        <item x="38"/>
        <item x="33"/>
        <item t="default"/>
      </items>
    </pivotField>
    <pivotField axis="axisCol" showAll="0">
      <items count="4">
        <item x="2"/>
        <item x="0"/>
        <item x="1"/>
        <item t="default"/>
      </items>
    </pivotField>
    <pivotField showAll="0"/>
    <pivotField axis="axisPage" multipleItemSelectionAllowed="1" showAll="0">
      <items count="47">
        <item x="8"/>
        <item x="4"/>
        <item x="29"/>
        <item x="3"/>
        <item x="37"/>
        <item x="0"/>
        <item x="24"/>
        <item x="1"/>
        <item x="35"/>
        <item x="45"/>
        <item x="12"/>
        <item x="13"/>
        <item x="20"/>
        <item x="39"/>
        <item x="16"/>
        <item x="6"/>
        <item x="31"/>
        <item x="5"/>
        <item x="25"/>
        <item x="40"/>
        <item x="32"/>
        <item x="36"/>
        <item x="30"/>
        <item x="41"/>
        <item x="44"/>
        <item x="10"/>
        <item x="33"/>
        <item x="27"/>
        <item x="23"/>
        <item x="18"/>
        <item x="15"/>
        <item x="21"/>
        <item x="43"/>
        <item x="22"/>
        <item x="38"/>
        <item x="28"/>
        <item x="7"/>
        <item x="42"/>
        <item x="19"/>
        <item x="11"/>
        <item x="2"/>
        <item x="17"/>
        <item x="34"/>
        <item x="26"/>
        <item x="14"/>
        <item x="9"/>
        <item t="default"/>
      </items>
    </pivotField>
    <pivotField axis="axisCol" showAll="0">
      <items count="4">
        <item h="1" x="0"/>
        <item h="1" x="1"/>
        <item x="2"/>
        <item t="default"/>
      </items>
    </pivotField>
    <pivotField showAll="0"/>
    <pivotField showAll="0"/>
    <pivotField axis="axisRow" showAll="0">
      <items count="23">
        <item x="19"/>
        <item x="16"/>
        <item x="1"/>
        <item x="13"/>
        <item x="2"/>
        <item x="10"/>
        <item x="14"/>
        <item x="0"/>
        <item x="12"/>
        <item x="11"/>
        <item x="8"/>
        <item x="15"/>
        <item x="3"/>
        <item x="21"/>
        <item x="9"/>
        <item x="20"/>
        <item x="18"/>
        <item x="5"/>
        <item x="7"/>
        <item x="17"/>
        <item x="4"/>
        <item x="6"/>
        <item t="default"/>
      </items>
    </pivotField>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items count="98">
        <item x="75"/>
        <item x="61"/>
        <item x="15"/>
        <item x="30"/>
        <item x="70"/>
        <item x="94"/>
        <item x="51"/>
        <item x="90"/>
        <item x="32"/>
        <item x="6"/>
        <item x="18"/>
        <item x="28"/>
        <item x="76"/>
        <item x="25"/>
        <item x="91"/>
        <item x="62"/>
        <item x="58"/>
        <item x="2"/>
        <item x="81"/>
        <item x="53"/>
        <item x="12"/>
        <item x="33"/>
        <item x="80"/>
        <item x="45"/>
        <item x="8"/>
        <item x="71"/>
        <item x="78"/>
        <item x="21"/>
        <item x="86"/>
        <item x="88"/>
        <item x="82"/>
        <item x="48"/>
        <item x="4"/>
        <item x="20"/>
        <item x="63"/>
        <item x="77"/>
        <item x="34"/>
        <item x="59"/>
        <item x="56"/>
        <item x="93"/>
        <item x="49"/>
        <item x="47"/>
        <item x="44"/>
        <item x="60"/>
        <item x="5"/>
        <item x="96"/>
        <item x="92"/>
        <item x="17"/>
        <item x="22"/>
        <item x="14"/>
        <item x="23"/>
        <item x="74"/>
        <item x="89"/>
        <item x="50"/>
        <item x="69"/>
        <item x="42"/>
        <item x="65"/>
        <item x="31"/>
        <item x="52"/>
        <item x="26"/>
        <item x="43"/>
        <item x="95"/>
        <item x="73"/>
        <item x="37"/>
        <item x="9"/>
        <item x="29"/>
        <item x="64"/>
        <item x="41"/>
        <item x="87"/>
        <item x="68"/>
        <item x="36"/>
        <item x="83"/>
        <item x="79"/>
        <item x="55"/>
        <item x="46"/>
        <item x="39"/>
        <item x="66"/>
        <item x="19"/>
        <item x="84"/>
        <item x="0"/>
        <item x="85"/>
        <item x="57"/>
        <item x="40"/>
        <item x="13"/>
        <item x="38"/>
        <item x="16"/>
        <item x="1"/>
        <item x="72"/>
        <item x="7"/>
        <item x="11"/>
        <item x="3"/>
        <item x="54"/>
        <item x="24"/>
        <item x="35"/>
        <item x="67"/>
        <item x="10"/>
        <item x="27"/>
        <item t="default"/>
      </items>
    </pivotField>
    <pivotField dataField="1" showAll="0"/>
    <pivotField numFmtId="164" showAll="0"/>
    <pivotField dataField="1" numFmtId="164" showAll="0">
      <items count="99">
        <item x="27"/>
        <item x="3"/>
        <item x="36"/>
        <item x="14"/>
        <item x="72"/>
        <item x="84"/>
        <item x="38"/>
        <item x="74"/>
        <item x="66"/>
        <item x="39"/>
        <item x="78"/>
        <item x="28"/>
        <item x="76"/>
        <item x="32"/>
        <item x="15"/>
        <item x="94"/>
        <item x="75"/>
        <item x="23"/>
        <item x="61"/>
        <item x="30"/>
        <item x="73"/>
        <item x="70"/>
        <item x="6"/>
        <item x="18"/>
        <item x="4"/>
        <item x="77"/>
        <item x="51"/>
        <item x="90"/>
        <item x="59"/>
        <item x="33"/>
        <item x="42"/>
        <item x="81"/>
        <item x="25"/>
        <item x="47"/>
        <item x="21"/>
        <item x="12"/>
        <item x="8"/>
        <item x="48"/>
        <item x="62"/>
        <item x="82"/>
        <item x="91"/>
        <item x="53"/>
        <item x="88"/>
        <item x="86"/>
        <item x="2"/>
        <item x="58"/>
        <item x="57"/>
        <item x="20"/>
        <item x="80"/>
        <item x="45"/>
        <item x="89"/>
        <item x="46"/>
        <item x="71"/>
        <item x="63"/>
        <item x="43"/>
        <item x="31"/>
        <item x="34"/>
        <item x="17"/>
        <item x="26"/>
        <item x="16"/>
        <item x="87"/>
        <item x="5"/>
        <item x="29"/>
        <item x="56"/>
        <item x="22"/>
        <item x="19"/>
        <item x="93"/>
        <item x="60"/>
        <item x="92"/>
        <item x="41"/>
        <item x="52"/>
        <item x="96"/>
        <item x="49"/>
        <item x="44"/>
        <item x="65"/>
        <item x="97"/>
        <item x="85"/>
        <item x="9"/>
        <item x="50"/>
        <item x="37"/>
        <item x="69"/>
        <item x="95"/>
        <item x="40"/>
        <item x="0"/>
        <item x="55"/>
        <item x="79"/>
        <item x="83"/>
        <item x="68"/>
        <item x="11"/>
        <item x="64"/>
        <item x="10"/>
        <item x="7"/>
        <item x="67"/>
        <item x="35"/>
        <item x="13"/>
        <item x="1"/>
        <item x="24"/>
        <item x="54"/>
        <item t="default"/>
      </items>
    </pivotField>
    <pivotField showAll="0">
      <items count="7">
        <item x="0"/>
        <item x="1"/>
        <item x="2"/>
        <item x="3"/>
        <item x="4"/>
        <item x="5"/>
        <item t="default"/>
      </items>
    </pivotField>
  </pivotFields>
  <rowFields count="3">
    <field x="12"/>
    <field x="10"/>
    <field x="14"/>
  </rowFields>
  <rowItems count="15">
    <i>
      <x/>
    </i>
    <i r="1">
      <x v="5"/>
    </i>
    <i r="2">
      <x/>
    </i>
    <i r="2">
      <x v="1"/>
    </i>
    <i r="1">
      <x v="17"/>
    </i>
    <i r="2">
      <x/>
    </i>
    <i r="2">
      <x v="1"/>
    </i>
    <i r="2">
      <x v="2"/>
    </i>
    <i>
      <x v="1"/>
    </i>
    <i r="1">
      <x v="11"/>
    </i>
    <i r="2">
      <x/>
    </i>
    <i>
      <x v="3"/>
    </i>
    <i r="1">
      <x v="13"/>
    </i>
    <i r="2">
      <x v="1"/>
    </i>
    <i t="grand">
      <x/>
    </i>
  </rowItems>
  <colFields count="3">
    <field x="7"/>
    <field x="4"/>
    <field x="-2"/>
  </colFields>
  <colItems count="15">
    <i>
      <x v="2"/>
      <x/>
      <x/>
    </i>
    <i r="2" i="1">
      <x v="1"/>
    </i>
    <i r="2" i="2">
      <x v="2"/>
    </i>
    <i r="1">
      <x v="1"/>
      <x/>
    </i>
    <i r="2" i="1">
      <x v="1"/>
    </i>
    <i r="2" i="2">
      <x v="2"/>
    </i>
    <i r="1">
      <x v="2"/>
      <x/>
    </i>
    <i r="2" i="1">
      <x v="1"/>
    </i>
    <i r="2" i="2">
      <x v="2"/>
    </i>
    <i t="default">
      <x v="2"/>
    </i>
    <i t="default" i="1">
      <x v="2"/>
    </i>
    <i t="default" i="2">
      <x v="2"/>
    </i>
    <i t="grand">
      <x/>
    </i>
    <i t="grand" i="1">
      <x/>
    </i>
    <i t="grand" i="2">
      <x/>
    </i>
  </colItems>
  <pageFields count="3">
    <pageField fld="2" hier="-1"/>
    <pageField fld="6" hier="-1"/>
    <pageField fld="3" hier="-1"/>
  </pageFields>
  <dataFields count="3">
    <dataField name="Sum of Sales" fld="17" baseField="0" baseItem="0"/>
    <dataField name="Sum of Profit" fld="20" baseField="0" baseItem="0"/>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F70A2E3-6A5C-4F2A-8A08-9D6408E83208}" sourceName="Region">
  <pivotTables>
    <pivotTable tabId="14" name="PivotTable1"/>
    <pivotTable tabId="15" name="PivotTable2"/>
    <pivotTable tabId="17" name="PivotTable3"/>
    <pivotTable tabId="18" name="PivotTable4"/>
  </pivotTables>
  <data>
    <tabular pivotCacheId="158706524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F48C94C-69A8-40B6-A5AB-4B04ED275B92}" sourceName="Segment">
  <pivotTables>
    <pivotTable tabId="14" name="PivotTable1"/>
    <pivotTable tabId="15" name="PivotTable2"/>
    <pivotTable tabId="17" name="PivotTable3"/>
    <pivotTable tabId="18" name="PivotTable4"/>
  </pivotTables>
  <data>
    <tabular pivotCacheId="158706524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0965938-840B-4CEB-A47D-EF51667E701E}" sourceName="Ship Mode">
  <pivotTables>
    <pivotTable tabId="14" name="PivotTable1"/>
    <pivotTable tabId="15" name="PivotTable2"/>
    <pivotTable tabId="17" name="PivotTable3"/>
    <pivotTable tabId="18" name="PivotTable4"/>
  </pivotTables>
  <data>
    <tabular pivotCacheId="1587065244">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B9ED0BF-80FE-4610-A190-1C5DAAE1BAAF}" sourceName="Region">
  <pivotTables>
    <pivotTable tabId="10" name="PivotTable6"/>
  </pivotTables>
  <data>
    <tabular pivotCacheId="1587065244">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2426C9FB-2667-4040-AFBF-37E40C785705}" sourceName="Region">
  <pivotTables>
    <pivotTable tabId="7" name="PivotTable1"/>
  </pivotTables>
  <data>
    <tabular pivotCacheId="1587065244">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3" xr10:uid="{95099BA9-A550-4C6D-9DCD-4D15F61AC972}" sourceName="Region">
  <pivotTables>
    <pivotTable tabId="11" name="PivotTable7"/>
  </pivotTables>
  <data>
    <tabular pivotCacheId="1587065244">
      <items count="4">
        <i x="2" s="1"/>
        <i x="3" s="1"/>
        <i x="1" s="1"/>
        <i x="0"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3B10ECFD-5BCC-48C8-BD9F-40192EF485B0}" sourceName="Segment">
  <pivotTables>
    <pivotTable tabId="6" name="PivotTable4"/>
  </pivotTables>
  <data>
    <tabular pivotCacheId="1587065244">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4" xr10:uid="{465E6E6C-7047-4F0D-BFEE-F7006810B63C}" sourceName="Region">
  <pivotTables>
    <pivotTable tabId="4" name="PivotTable2"/>
    <pivotTable tabId="6" name="PivotTable4"/>
  </pivotTables>
  <data>
    <tabular pivotCacheId="1587065244">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4952953-CD2A-45AD-B7DB-1AD07AE4ED02}" sourceName="Category">
  <pivotTables>
    <pivotTable tabId="5" name="PivotTable3"/>
  </pivotTables>
  <data>
    <tabular pivotCacheId="1587065244">
      <items count="3">
        <i x="0" s="1"/>
        <i x="1" s="1"/>
        <i x="2"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7B0F9B7B-8DBA-419E-A8B3-0A864613BF5B}" sourceName="Years">
  <pivotTables>
    <pivotTable tabId="2" name="PivotTable1"/>
  </pivotTables>
  <data>
    <tabular pivotCacheId="1587065244">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0B61A67-31A9-49D2-B1B5-F79380ADC10E}" cache="Slicer_Region" caption="Region" rowHeight="234950"/>
  <slicer name="Segment" xr10:uid="{2BEABEB2-F788-4E66-9D8B-CA6F06754DC1}" cache="Slicer_Segment" caption="Segment" rowHeight="234950"/>
  <slicer name="Ship Mode" xr10:uid="{CE4D829B-8E79-4EAC-8F5C-C254FECAA716}" cache="Slicer_Ship_Mode" caption="Ship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315AD586-243C-45C2-8A73-1EA2EC9E20FD}" cache="Slicer_Years" caption="Year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07CA1A-970A-4FCB-8255-220F3CA6FFFC}" cache="Slicer_Category" caption="Category"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20629799-7F1B-44F9-9413-5E12C60C1638}" cache="Slicer_Region4" caption="Region"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7C93F916-882D-4853-9E70-B9C217E85884}" cache="Slicer_Segment1" caption="Segment"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EA1ABE23-AAF9-4E91-BC3B-DEB50FC81574}" cache="Slicer_Segment1" caption="Segment" rowHeight="234950"/>
  <slicer name="Region 5" xr10:uid="{70EFB971-8D02-4D91-A611-F042FED46CCE}" cache="Slicer_Region4" caption="Region"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76D9DC05-9886-483B-9D93-C78A0E1EDF4A}" cache="Slicer_Region2" caption="Region" rowHeight="2349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1B11AA6-4029-4DD4-8402-8329A66F8506}" cache="Slicer_Region1" caption="Region" rowHeight="2349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46FE8B1-0AD2-4ECA-96B4-FD5B6C4C0860}" cache="Slicer_Region3"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5.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3.bin"/><Relationship Id="rId1" Type="http://schemas.openxmlformats.org/officeDocument/2006/relationships/pivotTable" Target="../pivotTables/pivotTable11.xml"/><Relationship Id="rId4" Type="http://schemas.microsoft.com/office/2007/relationships/slicer" Target="../slicers/slicer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89CC-CC3D-4D9F-95C5-E039DE8D8C40}">
  <dimension ref="A1:B18"/>
  <sheetViews>
    <sheetView workbookViewId="0"/>
  </sheetViews>
  <sheetFormatPr defaultRowHeight="14.4" x14ac:dyDescent="0.3"/>
  <cols>
    <col min="1" max="1" width="12.5546875" bestFit="1" customWidth="1"/>
    <col min="2" max="2" width="14.88671875" bestFit="1" customWidth="1"/>
  </cols>
  <sheetData>
    <row r="1" spans="1:2" ht="14.4" customHeight="1" x14ac:dyDescent="0.4">
      <c r="A1" s="16"/>
    </row>
    <row r="3" spans="1:2" x14ac:dyDescent="0.3">
      <c r="A3" s="6" t="s">
        <v>443</v>
      </c>
      <c r="B3" t="s">
        <v>465</v>
      </c>
    </row>
    <row r="4" spans="1:2" x14ac:dyDescent="0.3">
      <c r="A4" s="7" t="s">
        <v>160</v>
      </c>
      <c r="B4" s="9">
        <v>13</v>
      </c>
    </row>
    <row r="5" spans="1:2" x14ac:dyDescent="0.3">
      <c r="A5" s="7" t="s">
        <v>77</v>
      </c>
      <c r="B5" s="9">
        <v>24</v>
      </c>
    </row>
    <row r="6" spans="1:2" x14ac:dyDescent="0.3">
      <c r="A6" s="7" t="s">
        <v>67</v>
      </c>
      <c r="B6" s="9">
        <v>38</v>
      </c>
    </row>
    <row r="7" spans="1:2" x14ac:dyDescent="0.3">
      <c r="A7" s="7" t="s">
        <v>74</v>
      </c>
      <c r="B7" s="9">
        <v>54</v>
      </c>
    </row>
    <row r="8" spans="1:2" x14ac:dyDescent="0.3">
      <c r="A8" s="7" t="s">
        <v>32</v>
      </c>
      <c r="B8" s="9">
        <v>12</v>
      </c>
    </row>
    <row r="9" spans="1:2" x14ac:dyDescent="0.3">
      <c r="A9" s="7" t="s">
        <v>35</v>
      </c>
      <c r="B9" s="9">
        <v>29</v>
      </c>
    </row>
    <row r="10" spans="1:2" x14ac:dyDescent="0.3">
      <c r="A10" s="7" t="s">
        <v>172</v>
      </c>
      <c r="B10" s="9">
        <v>18</v>
      </c>
    </row>
    <row r="11" spans="1:2" x14ac:dyDescent="0.3">
      <c r="A11" s="7" t="s">
        <v>268</v>
      </c>
      <c r="B11" s="9">
        <v>7</v>
      </c>
    </row>
    <row r="12" spans="1:2" x14ac:dyDescent="0.3">
      <c r="A12" s="7" t="s">
        <v>64</v>
      </c>
      <c r="B12" s="9">
        <v>41</v>
      </c>
    </row>
    <row r="13" spans="1:2" x14ac:dyDescent="0.3">
      <c r="A13" s="7" t="s">
        <v>46</v>
      </c>
      <c r="B13" s="9">
        <v>10</v>
      </c>
    </row>
    <row r="14" spans="1:2" x14ac:dyDescent="0.3">
      <c r="A14" s="7" t="s">
        <v>89</v>
      </c>
      <c r="B14" s="9">
        <v>24</v>
      </c>
    </row>
    <row r="15" spans="1:2" x14ac:dyDescent="0.3">
      <c r="A15" s="7" t="s">
        <v>71</v>
      </c>
      <c r="B15" s="9">
        <v>41</v>
      </c>
    </row>
    <row r="16" spans="1:2" x14ac:dyDescent="0.3">
      <c r="A16" s="7" t="s">
        <v>58</v>
      </c>
      <c r="B16" s="9">
        <v>39</v>
      </c>
    </row>
    <row r="17" spans="1:2" x14ac:dyDescent="0.3">
      <c r="A17" s="7" t="s">
        <v>55</v>
      </c>
      <c r="B17" s="9">
        <v>17</v>
      </c>
    </row>
    <row r="18" spans="1:2" x14ac:dyDescent="0.3">
      <c r="A18" s="7" t="s">
        <v>444</v>
      </c>
      <c r="B18" s="9">
        <v>367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DA2B6-C6EF-4A55-A422-398E5CA31ED1}">
  <dimension ref="A3:B22"/>
  <sheetViews>
    <sheetView workbookViewId="0">
      <selection activeCell="B4" sqref="B4"/>
    </sheetView>
  </sheetViews>
  <sheetFormatPr defaultRowHeight="14.4" x14ac:dyDescent="0.3"/>
  <cols>
    <col min="1" max="1" width="12.5546875" bestFit="1" customWidth="1"/>
    <col min="2" max="2" width="11.6640625" bestFit="1" customWidth="1"/>
  </cols>
  <sheetData>
    <row r="3" spans="1:2" x14ac:dyDescent="0.3">
      <c r="A3" s="6" t="s">
        <v>443</v>
      </c>
      <c r="B3" t="s">
        <v>449</v>
      </c>
    </row>
    <row r="4" spans="1:2" x14ac:dyDescent="0.3">
      <c r="A4" s="7" t="s">
        <v>445</v>
      </c>
      <c r="B4" s="14">
        <v>6228.9860000000008</v>
      </c>
    </row>
    <row r="5" spans="1:2" x14ac:dyDescent="0.3">
      <c r="A5" s="10" t="s">
        <v>468</v>
      </c>
      <c r="B5" s="14">
        <v>3769.8040000000001</v>
      </c>
    </row>
    <row r="6" spans="1:2" x14ac:dyDescent="0.3">
      <c r="A6" s="10" t="s">
        <v>469</v>
      </c>
      <c r="B6" s="14">
        <v>244.76000000000002</v>
      </c>
    </row>
    <row r="7" spans="1:2" x14ac:dyDescent="0.3">
      <c r="A7" s="10" t="s">
        <v>467</v>
      </c>
      <c r="B7" s="14">
        <v>2214.422</v>
      </c>
    </row>
    <row r="8" spans="1:2" x14ac:dyDescent="0.3">
      <c r="A8" s="7" t="s">
        <v>446</v>
      </c>
      <c r="B8" s="14">
        <v>8645.2797000000028</v>
      </c>
    </row>
    <row r="9" spans="1:2" x14ac:dyDescent="0.3">
      <c r="A9" s="10" t="s">
        <v>470</v>
      </c>
      <c r="B9" s="14">
        <v>99.260000000000019</v>
      </c>
    </row>
    <row r="10" spans="1:2" x14ac:dyDescent="0.3">
      <c r="A10" s="10" t="s">
        <v>468</v>
      </c>
      <c r="B10" s="14">
        <v>1424.4250000000002</v>
      </c>
    </row>
    <row r="11" spans="1:2" x14ac:dyDescent="0.3">
      <c r="A11" s="10" t="s">
        <v>469</v>
      </c>
      <c r="B11" s="14">
        <v>4575.0480000000016</v>
      </c>
    </row>
    <row r="12" spans="1:2" x14ac:dyDescent="0.3">
      <c r="A12" s="10" t="s">
        <v>467</v>
      </c>
      <c r="B12" s="14">
        <v>2546.5467000000003</v>
      </c>
    </row>
    <row r="13" spans="1:2" x14ac:dyDescent="0.3">
      <c r="A13" s="7" t="s">
        <v>447</v>
      </c>
      <c r="B13" s="14">
        <v>5437.2060000000001</v>
      </c>
    </row>
    <row r="14" spans="1:2" x14ac:dyDescent="0.3">
      <c r="A14" s="10" t="s">
        <v>470</v>
      </c>
      <c r="B14" s="14">
        <v>165.65800000000002</v>
      </c>
    </row>
    <row r="15" spans="1:2" x14ac:dyDescent="0.3">
      <c r="A15" s="10" t="s">
        <v>468</v>
      </c>
      <c r="B15" s="14">
        <v>1195.6579999999997</v>
      </c>
    </row>
    <row r="16" spans="1:2" x14ac:dyDescent="0.3">
      <c r="A16" s="10" t="s">
        <v>469</v>
      </c>
      <c r="B16" s="14">
        <v>260.53999999999996</v>
      </c>
    </row>
    <row r="17" spans="1:2" x14ac:dyDescent="0.3">
      <c r="A17" s="10" t="s">
        <v>467</v>
      </c>
      <c r="B17" s="14">
        <v>3815.3500000000004</v>
      </c>
    </row>
    <row r="18" spans="1:2" x14ac:dyDescent="0.3">
      <c r="A18" s="7" t="s">
        <v>448</v>
      </c>
      <c r="B18" s="14">
        <v>1128.4360000000001</v>
      </c>
    </row>
    <row r="19" spans="1:2" x14ac:dyDescent="0.3">
      <c r="A19" s="10" t="s">
        <v>468</v>
      </c>
      <c r="B19" s="14">
        <v>368.82400000000001</v>
      </c>
    </row>
    <row r="20" spans="1:2" x14ac:dyDescent="0.3">
      <c r="A20" s="10" t="s">
        <v>469</v>
      </c>
      <c r="B20" s="14">
        <v>333.20600000000002</v>
      </c>
    </row>
    <row r="21" spans="1:2" x14ac:dyDescent="0.3">
      <c r="A21" s="10" t="s">
        <v>467</v>
      </c>
      <c r="B21" s="14">
        <v>426.40600000000006</v>
      </c>
    </row>
    <row r="22" spans="1:2" x14ac:dyDescent="0.3">
      <c r="A22" s="7" t="s">
        <v>444</v>
      </c>
      <c r="B22" s="14">
        <v>21439.9077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CC0E9-CB85-4D77-9CFE-E30E8FF9E7BD}">
  <dimension ref="A3:B7"/>
  <sheetViews>
    <sheetView workbookViewId="0"/>
  </sheetViews>
  <sheetFormatPr defaultRowHeight="14.4" x14ac:dyDescent="0.3"/>
  <cols>
    <col min="1" max="1" width="12.5546875" bestFit="1" customWidth="1"/>
    <col min="2" max="2" width="14.88671875" bestFit="1" customWidth="1"/>
  </cols>
  <sheetData>
    <row r="3" spans="1:2" x14ac:dyDescent="0.3">
      <c r="A3" s="6" t="s">
        <v>443</v>
      </c>
      <c r="B3" t="s">
        <v>465</v>
      </c>
    </row>
    <row r="4" spans="1:2" x14ac:dyDescent="0.3">
      <c r="A4" s="7" t="s">
        <v>25</v>
      </c>
      <c r="B4" s="9">
        <v>218</v>
      </c>
    </row>
    <row r="5" spans="1:2" x14ac:dyDescent="0.3">
      <c r="A5" s="7" t="s">
        <v>40</v>
      </c>
      <c r="B5" s="9">
        <v>96</v>
      </c>
    </row>
    <row r="6" spans="1:2" x14ac:dyDescent="0.3">
      <c r="A6" s="7" t="s">
        <v>101</v>
      </c>
      <c r="B6" s="9">
        <v>53</v>
      </c>
    </row>
    <row r="7" spans="1:2" x14ac:dyDescent="0.3">
      <c r="A7" s="7" t="s">
        <v>444</v>
      </c>
      <c r="B7" s="9">
        <v>367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8E152-56B9-4786-AC28-1703020081D7}">
  <dimension ref="A3:B8"/>
  <sheetViews>
    <sheetView workbookViewId="0"/>
  </sheetViews>
  <sheetFormatPr defaultRowHeight="14.4" x14ac:dyDescent="0.3"/>
  <cols>
    <col min="1" max="1" width="12.5546875" bestFit="1" customWidth="1"/>
    <col min="2" max="2" width="12.109375" bestFit="1" customWidth="1"/>
  </cols>
  <sheetData>
    <row r="3" spans="1:2" x14ac:dyDescent="0.3">
      <c r="A3" s="6" t="s">
        <v>443</v>
      </c>
      <c r="B3" t="s">
        <v>450</v>
      </c>
    </row>
    <row r="4" spans="1:2" x14ac:dyDescent="0.3">
      <c r="A4" s="7" t="s">
        <v>104</v>
      </c>
      <c r="B4" s="14">
        <v>43.44019999999977</v>
      </c>
    </row>
    <row r="5" spans="1:2" x14ac:dyDescent="0.3">
      <c r="A5" s="7" t="s">
        <v>147</v>
      </c>
      <c r="B5" s="14">
        <v>-1188.4077</v>
      </c>
    </row>
    <row r="6" spans="1:2" x14ac:dyDescent="0.3">
      <c r="A6" s="7" t="s">
        <v>29</v>
      </c>
      <c r="B6" s="14">
        <v>-39.463300000000118</v>
      </c>
    </row>
    <row r="7" spans="1:2" x14ac:dyDescent="0.3">
      <c r="A7" s="7" t="s">
        <v>43</v>
      </c>
      <c r="B7" s="14">
        <v>1059.9216999999999</v>
      </c>
    </row>
    <row r="8" spans="1:2" x14ac:dyDescent="0.3">
      <c r="A8" s="7" t="s">
        <v>444</v>
      </c>
      <c r="B8" s="14">
        <v>-124.50910000000044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94397-68AC-48E3-9C48-E054FD48A865}">
  <dimension ref="A1:X100"/>
  <sheetViews>
    <sheetView tabSelected="1" workbookViewId="0">
      <selection activeCell="C31" sqref="C31"/>
    </sheetView>
  </sheetViews>
  <sheetFormatPr defaultRowHeight="14.4" x14ac:dyDescent="0.3"/>
  <cols>
    <col min="1" max="1" width="7.44140625" bestFit="1" customWidth="1"/>
    <col min="2" max="2" width="14.6640625" bestFit="1" customWidth="1"/>
    <col min="3" max="3" width="11.21875" bestFit="1" customWidth="1"/>
    <col min="4" max="4" width="18" customWidth="1"/>
    <col min="5" max="5" width="12.77734375" bestFit="1" customWidth="1"/>
    <col min="6" max="6" width="12.44140625" bestFit="1" customWidth="1"/>
    <col min="7" max="7" width="18.44140625" bestFit="1" customWidth="1"/>
    <col min="8" max="8" width="11.33203125" bestFit="1" customWidth="1"/>
    <col min="9" max="9" width="12.88671875" bestFit="1" customWidth="1"/>
    <col min="10" max="10" width="15" bestFit="1" customWidth="1"/>
    <col min="12" max="12" width="12" bestFit="1" customWidth="1"/>
    <col min="14" max="14" width="16.5546875" bestFit="1" customWidth="1"/>
    <col min="15" max="15" width="14.5546875" bestFit="1" customWidth="1"/>
    <col min="16" max="16" width="13.44140625" bestFit="1" customWidth="1"/>
    <col min="17" max="17" width="89.6640625" bestFit="1" customWidth="1"/>
    <col min="18" max="18" width="11.21875" bestFit="1" customWidth="1"/>
    <col min="21" max="21" width="11.44140625" bestFit="1" customWidth="1"/>
    <col min="23" max="23" width="12.21875" bestFit="1" customWidth="1"/>
    <col min="24" max="24" width="12" bestFit="1" customWidth="1"/>
  </cols>
  <sheetData>
    <row r="1" spans="1:24"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W1" s="2" t="s">
        <v>438</v>
      </c>
      <c r="X1" s="4">
        <f>SUM(R2:R100)</f>
        <v>21439.907700000003</v>
      </c>
    </row>
    <row r="2" spans="1:24" x14ac:dyDescent="0.3">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12">
        <v>261.95999999999998</v>
      </c>
      <c r="S2">
        <v>2</v>
      </c>
      <c r="T2" s="4">
        <v>0</v>
      </c>
      <c r="U2" s="4">
        <v>41.913600000000002</v>
      </c>
      <c r="W2" s="3" t="s">
        <v>439</v>
      </c>
      <c r="X2" s="4">
        <f>SUM(U2:U100)</f>
        <v>-124.50910000000022</v>
      </c>
    </row>
    <row r="3" spans="1:24" x14ac:dyDescent="0.3">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12">
        <v>731.93999999999994</v>
      </c>
      <c r="S3">
        <v>3</v>
      </c>
      <c r="T3" s="4">
        <v>0</v>
      </c>
      <c r="U3" s="4">
        <v>219.58199999999997</v>
      </c>
      <c r="W3" s="3" t="s">
        <v>440</v>
      </c>
      <c r="X3">
        <f>COUNTA(B2:B100)</f>
        <v>99</v>
      </c>
    </row>
    <row r="4" spans="1:24" x14ac:dyDescent="0.3">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12">
        <v>14.62</v>
      </c>
      <c r="S4">
        <v>2</v>
      </c>
      <c r="T4" s="4">
        <v>0</v>
      </c>
      <c r="U4" s="4">
        <v>6.8713999999999995</v>
      </c>
      <c r="W4" s="3" t="s">
        <v>441</v>
      </c>
      <c r="X4" s="4">
        <f>AVERAGE(T2:T100)</f>
        <v>0.15525252525252514</v>
      </c>
    </row>
    <row r="5" spans="1:24" x14ac:dyDescent="0.3">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12">
        <v>957.57749999999999</v>
      </c>
      <c r="S5">
        <v>5</v>
      </c>
      <c r="T5" s="4">
        <v>0.45</v>
      </c>
      <c r="U5" s="4">
        <v>-383.03100000000006</v>
      </c>
      <c r="W5" s="3" t="s">
        <v>442</v>
      </c>
      <c r="X5" s="5">
        <f>AVERAGE(S2:S100)</f>
        <v>3.7070707070707072</v>
      </c>
    </row>
    <row r="6" spans="1:24" x14ac:dyDescent="0.3">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12">
        <v>22.368000000000002</v>
      </c>
      <c r="S6">
        <v>2</v>
      </c>
      <c r="T6" s="4">
        <v>0.2</v>
      </c>
      <c r="U6" s="4">
        <v>2.5163999999999991</v>
      </c>
    </row>
    <row r="7" spans="1:24" x14ac:dyDescent="0.3">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12">
        <v>48.86</v>
      </c>
      <c r="S7">
        <v>7</v>
      </c>
      <c r="T7" s="4">
        <v>0</v>
      </c>
      <c r="U7" s="4">
        <v>14.169399999999996</v>
      </c>
    </row>
    <row r="8" spans="1:24" x14ac:dyDescent="0.3">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12">
        <v>7.28</v>
      </c>
      <c r="S8">
        <v>4</v>
      </c>
      <c r="T8" s="4">
        <v>0</v>
      </c>
      <c r="U8" s="4">
        <v>1.9656000000000002</v>
      </c>
      <c r="W8" s="12"/>
    </row>
    <row r="9" spans="1:24" x14ac:dyDescent="0.3">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12">
        <v>907.15200000000004</v>
      </c>
      <c r="S9">
        <v>6</v>
      </c>
      <c r="T9" s="4">
        <v>0.2</v>
      </c>
      <c r="U9" s="4">
        <v>90.715200000000038</v>
      </c>
    </row>
    <row r="10" spans="1:24" x14ac:dyDescent="0.3">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12">
        <v>18.504000000000001</v>
      </c>
      <c r="S10">
        <v>3</v>
      </c>
      <c r="T10" s="4">
        <v>0.2</v>
      </c>
      <c r="U10" s="4">
        <v>5.7824999999999998</v>
      </c>
    </row>
    <row r="11" spans="1:24" x14ac:dyDescent="0.3">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12">
        <v>114.9</v>
      </c>
      <c r="S11">
        <v>5</v>
      </c>
      <c r="T11" s="4">
        <v>0</v>
      </c>
      <c r="U11" s="4">
        <v>34.469999999999992</v>
      </c>
    </row>
    <row r="12" spans="1:24" x14ac:dyDescent="0.3">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12">
        <v>1706.1840000000002</v>
      </c>
      <c r="S12">
        <v>9</v>
      </c>
      <c r="T12" s="4">
        <v>0.2</v>
      </c>
      <c r="U12" s="4">
        <v>85.309199999999805</v>
      </c>
    </row>
    <row r="13" spans="1:24" x14ac:dyDescent="0.3">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12">
        <v>911.42399999999998</v>
      </c>
      <c r="S13">
        <v>4</v>
      </c>
      <c r="T13" s="4">
        <v>0.2</v>
      </c>
      <c r="U13" s="4">
        <v>68.356800000000021</v>
      </c>
    </row>
    <row r="14" spans="1:24" x14ac:dyDescent="0.3">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12">
        <v>15.552000000000003</v>
      </c>
      <c r="S14">
        <v>3</v>
      </c>
      <c r="T14" s="4">
        <v>0.2</v>
      </c>
      <c r="U14" s="4">
        <v>5.4432</v>
      </c>
    </row>
    <row r="15" spans="1:24" x14ac:dyDescent="0.3">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12">
        <v>407.97600000000006</v>
      </c>
      <c r="S15">
        <v>3</v>
      </c>
      <c r="T15" s="4">
        <v>0.2</v>
      </c>
      <c r="U15" s="4">
        <v>132.59219999999993</v>
      </c>
    </row>
    <row r="16" spans="1:24" x14ac:dyDescent="0.3">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12">
        <v>68.809999999999988</v>
      </c>
      <c r="S16">
        <v>5</v>
      </c>
      <c r="T16" s="4">
        <v>0.8</v>
      </c>
      <c r="U16" s="4">
        <v>-123.858</v>
      </c>
    </row>
    <row r="17" spans="1:21" x14ac:dyDescent="0.3">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12">
        <v>2.5439999999999996</v>
      </c>
      <c r="S17">
        <v>3</v>
      </c>
      <c r="T17" s="4">
        <v>0.8</v>
      </c>
      <c r="U17" s="4">
        <v>-3.8160000000000016</v>
      </c>
    </row>
    <row r="18" spans="1:21" x14ac:dyDescent="0.3">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12">
        <v>665.88</v>
      </c>
      <c r="S18">
        <v>6</v>
      </c>
      <c r="T18" s="4">
        <v>0</v>
      </c>
      <c r="U18" s="4">
        <v>13.317599999999999</v>
      </c>
    </row>
    <row r="19" spans="1:21" x14ac:dyDescent="0.3">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12">
        <v>55.5</v>
      </c>
      <c r="S19">
        <v>2</v>
      </c>
      <c r="T19" s="4">
        <v>0</v>
      </c>
      <c r="U19" s="4">
        <v>9.9899999999999949</v>
      </c>
    </row>
    <row r="20" spans="1:21" x14ac:dyDescent="0.3">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12">
        <v>8.56</v>
      </c>
      <c r="S20">
        <v>2</v>
      </c>
      <c r="T20" s="4">
        <v>0</v>
      </c>
      <c r="U20" s="4">
        <v>2.4823999999999993</v>
      </c>
    </row>
    <row r="21" spans="1:21" x14ac:dyDescent="0.3">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12">
        <v>213.48000000000002</v>
      </c>
      <c r="S21">
        <v>3</v>
      </c>
      <c r="T21" s="4">
        <v>0.2</v>
      </c>
      <c r="U21" s="4">
        <v>16.010999999999981</v>
      </c>
    </row>
    <row r="22" spans="1:21" x14ac:dyDescent="0.3">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12">
        <v>22.72</v>
      </c>
      <c r="S22">
        <v>4</v>
      </c>
      <c r="T22" s="4">
        <v>0.2</v>
      </c>
      <c r="U22" s="4">
        <v>7.3839999999999986</v>
      </c>
    </row>
    <row r="23" spans="1:21" x14ac:dyDescent="0.3">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12">
        <v>19.459999999999997</v>
      </c>
      <c r="S23">
        <v>7</v>
      </c>
      <c r="T23" s="4">
        <v>0</v>
      </c>
      <c r="U23" s="4">
        <v>5.0595999999999997</v>
      </c>
    </row>
    <row r="24" spans="1:21" x14ac:dyDescent="0.3">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12">
        <v>60.339999999999996</v>
      </c>
      <c r="S24">
        <v>7</v>
      </c>
      <c r="T24" s="4">
        <v>0</v>
      </c>
      <c r="U24" s="4">
        <v>15.688400000000001</v>
      </c>
    </row>
    <row r="25" spans="1:21" x14ac:dyDescent="0.3">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12">
        <v>71.371999999999986</v>
      </c>
      <c r="S25">
        <v>2</v>
      </c>
      <c r="T25" s="4">
        <v>0.3</v>
      </c>
      <c r="U25" s="4">
        <v>-1.0196000000000005</v>
      </c>
    </row>
    <row r="26" spans="1:21" x14ac:dyDescent="0.3">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12">
        <v>1044.6299999999999</v>
      </c>
      <c r="S26">
        <v>3</v>
      </c>
      <c r="T26" s="4">
        <v>0</v>
      </c>
      <c r="U26" s="4">
        <v>240.26490000000001</v>
      </c>
    </row>
    <row r="27" spans="1:21" x14ac:dyDescent="0.3">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12">
        <v>11.648000000000001</v>
      </c>
      <c r="S27">
        <v>2</v>
      </c>
      <c r="T27" s="4">
        <v>0.2</v>
      </c>
      <c r="U27" s="4">
        <v>4.2224000000000004</v>
      </c>
    </row>
    <row r="28" spans="1:21" x14ac:dyDescent="0.3">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12">
        <v>90.570000000000007</v>
      </c>
      <c r="S28">
        <v>3</v>
      </c>
      <c r="T28" s="4">
        <v>0</v>
      </c>
      <c r="U28" s="4">
        <v>11.774100000000004</v>
      </c>
    </row>
    <row r="29" spans="1:21" x14ac:dyDescent="0.3">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12">
        <v>3083.4300000000003</v>
      </c>
      <c r="S29">
        <v>7</v>
      </c>
      <c r="T29" s="4">
        <v>0.5</v>
      </c>
      <c r="U29" s="4">
        <v>-1665.0522000000001</v>
      </c>
    </row>
    <row r="30" spans="1:21" x14ac:dyDescent="0.3">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12">
        <v>9.6180000000000021</v>
      </c>
      <c r="S30">
        <v>2</v>
      </c>
      <c r="T30" s="4">
        <v>0.7</v>
      </c>
      <c r="U30" s="4">
        <v>-7.0532000000000004</v>
      </c>
    </row>
    <row r="31" spans="1:21" x14ac:dyDescent="0.3">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12">
        <v>124.20000000000002</v>
      </c>
      <c r="S31">
        <v>3</v>
      </c>
      <c r="T31" s="4">
        <v>0.2</v>
      </c>
      <c r="U31" s="4">
        <v>15.524999999999991</v>
      </c>
    </row>
    <row r="32" spans="1:21" x14ac:dyDescent="0.3">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12">
        <v>3.2640000000000002</v>
      </c>
      <c r="S32">
        <v>2</v>
      </c>
      <c r="T32" s="4">
        <v>0.2</v>
      </c>
      <c r="U32" s="4">
        <v>1.1015999999999997</v>
      </c>
    </row>
    <row r="33" spans="1:21" x14ac:dyDescent="0.3">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12">
        <v>86.304000000000002</v>
      </c>
      <c r="S33">
        <v>6</v>
      </c>
      <c r="T33" s="4">
        <v>0.2</v>
      </c>
      <c r="U33" s="4">
        <v>9.7091999999999885</v>
      </c>
    </row>
    <row r="34" spans="1:21" x14ac:dyDescent="0.3">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12">
        <v>6.8580000000000014</v>
      </c>
      <c r="S34">
        <v>6</v>
      </c>
      <c r="T34" s="4">
        <v>0.7</v>
      </c>
      <c r="U34" s="4">
        <v>-5.7149999999999999</v>
      </c>
    </row>
    <row r="35" spans="1:21" x14ac:dyDescent="0.3">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12">
        <v>15.76</v>
      </c>
      <c r="S35">
        <v>2</v>
      </c>
      <c r="T35" s="4">
        <v>0.2</v>
      </c>
      <c r="U35" s="4">
        <v>3.5460000000000007</v>
      </c>
    </row>
    <row r="36" spans="1:21" x14ac:dyDescent="0.3">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12">
        <v>29.472000000000001</v>
      </c>
      <c r="S36">
        <v>3</v>
      </c>
      <c r="T36" s="4">
        <v>0.2</v>
      </c>
      <c r="U36" s="4">
        <v>9.9467999999999979</v>
      </c>
    </row>
    <row r="37" spans="1:21" x14ac:dyDescent="0.3">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12">
        <v>1097.5440000000003</v>
      </c>
      <c r="S37">
        <v>7</v>
      </c>
      <c r="T37" s="4">
        <v>0.2</v>
      </c>
      <c r="U37" s="4">
        <v>123.47369999999989</v>
      </c>
    </row>
    <row r="38" spans="1:21" x14ac:dyDescent="0.3">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12">
        <v>190.92</v>
      </c>
      <c r="S38">
        <v>5</v>
      </c>
      <c r="T38" s="4">
        <v>0.6</v>
      </c>
      <c r="U38" s="4">
        <v>-147.96300000000002</v>
      </c>
    </row>
    <row r="39" spans="1:21" x14ac:dyDescent="0.3">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12">
        <v>113.328</v>
      </c>
      <c r="S39">
        <v>9</v>
      </c>
      <c r="T39" s="4">
        <v>0.2</v>
      </c>
      <c r="U39" s="4">
        <v>35.414999999999999</v>
      </c>
    </row>
    <row r="40" spans="1:21" x14ac:dyDescent="0.3">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12">
        <v>532.39919999999995</v>
      </c>
      <c r="S40">
        <v>3</v>
      </c>
      <c r="T40" s="4">
        <v>0.32</v>
      </c>
      <c r="U40" s="4">
        <v>-46.976400000000012</v>
      </c>
    </row>
    <row r="41" spans="1:21" x14ac:dyDescent="0.3">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12">
        <v>212.05799999999999</v>
      </c>
      <c r="S41">
        <v>3</v>
      </c>
      <c r="T41" s="4">
        <v>0.3</v>
      </c>
      <c r="U41" s="4">
        <v>-15.146999999999991</v>
      </c>
    </row>
    <row r="42" spans="1:21" x14ac:dyDescent="0.3">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12">
        <v>371.16800000000001</v>
      </c>
      <c r="S42">
        <v>4</v>
      </c>
      <c r="T42" s="4">
        <v>0.2</v>
      </c>
      <c r="U42" s="4">
        <v>41.756399999999957</v>
      </c>
    </row>
    <row r="43" spans="1:21" x14ac:dyDescent="0.3">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12">
        <v>147.16800000000001</v>
      </c>
      <c r="S43">
        <v>4</v>
      </c>
      <c r="T43" s="4">
        <v>0.2</v>
      </c>
      <c r="U43" s="4">
        <v>16.556399999999996</v>
      </c>
    </row>
    <row r="44" spans="1:21" x14ac:dyDescent="0.3">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12">
        <v>77.88</v>
      </c>
      <c r="S44">
        <v>2</v>
      </c>
      <c r="T44" s="4">
        <v>0</v>
      </c>
      <c r="U44" s="4">
        <v>3.8939999999999912</v>
      </c>
    </row>
    <row r="45" spans="1:21" x14ac:dyDescent="0.3">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12">
        <v>95.616</v>
      </c>
      <c r="S45">
        <v>2</v>
      </c>
      <c r="T45" s="4">
        <v>0.2</v>
      </c>
      <c r="U45" s="4">
        <v>9.5616000000000092</v>
      </c>
    </row>
    <row r="46" spans="1:21" x14ac:dyDescent="0.3">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12">
        <v>45.98</v>
      </c>
      <c r="S46">
        <v>2</v>
      </c>
      <c r="T46" s="4">
        <v>0</v>
      </c>
      <c r="U46" s="4">
        <v>19.7714</v>
      </c>
    </row>
    <row r="47" spans="1:21" x14ac:dyDescent="0.3">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12">
        <v>17.46</v>
      </c>
      <c r="S47">
        <v>2</v>
      </c>
      <c r="T47" s="4">
        <v>0</v>
      </c>
      <c r="U47" s="4">
        <v>8.2061999999999991</v>
      </c>
    </row>
    <row r="48" spans="1:21" x14ac:dyDescent="0.3">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12">
        <v>211.96</v>
      </c>
      <c r="S48">
        <v>4</v>
      </c>
      <c r="T48" s="4">
        <v>0</v>
      </c>
      <c r="U48" s="4">
        <v>8.4783999999999935</v>
      </c>
    </row>
    <row r="49" spans="1:21" x14ac:dyDescent="0.3">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12">
        <v>45</v>
      </c>
      <c r="S49">
        <v>3</v>
      </c>
      <c r="T49" s="4">
        <v>0</v>
      </c>
      <c r="U49" s="4">
        <v>4.9500000000000011</v>
      </c>
    </row>
    <row r="50" spans="1:21" x14ac:dyDescent="0.3">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12">
        <v>21.8</v>
      </c>
      <c r="S50">
        <v>2</v>
      </c>
      <c r="T50" s="4">
        <v>0</v>
      </c>
      <c r="U50" s="4">
        <v>6.104000000000001</v>
      </c>
    </row>
    <row r="51" spans="1:21" x14ac:dyDescent="0.3">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12">
        <v>38.22</v>
      </c>
      <c r="S51">
        <v>6</v>
      </c>
      <c r="T51" s="4">
        <v>0</v>
      </c>
      <c r="U51" s="4">
        <v>17.9634</v>
      </c>
    </row>
    <row r="52" spans="1:21" x14ac:dyDescent="0.3">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12">
        <v>75.179999999999993</v>
      </c>
      <c r="S52">
        <v>6</v>
      </c>
      <c r="T52" s="4">
        <v>0</v>
      </c>
      <c r="U52" s="4">
        <v>35.334599999999995</v>
      </c>
    </row>
    <row r="53" spans="1:21" x14ac:dyDescent="0.3">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12">
        <v>6.16</v>
      </c>
      <c r="S53">
        <v>2</v>
      </c>
      <c r="T53" s="4">
        <v>0</v>
      </c>
      <c r="U53" s="4">
        <v>2.9567999999999999</v>
      </c>
    </row>
    <row r="54" spans="1:21" x14ac:dyDescent="0.3">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12">
        <v>89.99</v>
      </c>
      <c r="S54">
        <v>1</v>
      </c>
      <c r="T54" s="4">
        <v>0</v>
      </c>
      <c r="U54" s="4">
        <v>17.098099999999988</v>
      </c>
    </row>
    <row r="55" spans="1:21" x14ac:dyDescent="0.3">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12">
        <v>15.260000000000002</v>
      </c>
      <c r="S55">
        <v>7</v>
      </c>
      <c r="T55" s="4">
        <v>0</v>
      </c>
      <c r="U55" s="4">
        <v>6.2566000000000006</v>
      </c>
    </row>
    <row r="56" spans="1:21" x14ac:dyDescent="0.3">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12">
        <v>1029.95</v>
      </c>
      <c r="S56">
        <v>5</v>
      </c>
      <c r="T56" s="4">
        <v>0</v>
      </c>
      <c r="U56" s="4">
        <v>298.68549999999999</v>
      </c>
    </row>
    <row r="57" spans="1:21" x14ac:dyDescent="0.3">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12">
        <v>208.56</v>
      </c>
      <c r="S57">
        <v>6</v>
      </c>
      <c r="T57" s="4">
        <v>0</v>
      </c>
      <c r="U57" s="4">
        <v>52.139999999999986</v>
      </c>
    </row>
    <row r="58" spans="1:21" x14ac:dyDescent="0.3">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12">
        <v>32.400000000000006</v>
      </c>
      <c r="S58">
        <v>5</v>
      </c>
      <c r="T58" s="4">
        <v>0</v>
      </c>
      <c r="U58" s="4">
        <v>15.552000000000001</v>
      </c>
    </row>
    <row r="59" spans="1:21" x14ac:dyDescent="0.3">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12">
        <v>319.41000000000003</v>
      </c>
      <c r="S59">
        <v>5</v>
      </c>
      <c r="T59" s="4">
        <v>0.1</v>
      </c>
      <c r="U59" s="4">
        <v>7.0980000000000061</v>
      </c>
    </row>
    <row r="60" spans="1:21" x14ac:dyDescent="0.3">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12">
        <v>14.56</v>
      </c>
      <c r="S60">
        <v>2</v>
      </c>
      <c r="T60" s="4">
        <v>0</v>
      </c>
      <c r="U60" s="4">
        <v>6.9888000000000003</v>
      </c>
    </row>
    <row r="61" spans="1:21" x14ac:dyDescent="0.3">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12">
        <v>30</v>
      </c>
      <c r="S61">
        <v>2</v>
      </c>
      <c r="T61" s="4">
        <v>0</v>
      </c>
      <c r="U61" s="4">
        <v>3.3000000000000007</v>
      </c>
    </row>
    <row r="62" spans="1:21" x14ac:dyDescent="0.3">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12">
        <v>48.480000000000004</v>
      </c>
      <c r="S62">
        <v>4</v>
      </c>
      <c r="T62" s="4">
        <v>0.2</v>
      </c>
      <c r="U62" s="4">
        <v>16.361999999999998</v>
      </c>
    </row>
    <row r="63" spans="1:21" x14ac:dyDescent="0.3">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12">
        <v>1.68</v>
      </c>
      <c r="S63">
        <v>1</v>
      </c>
      <c r="T63" s="4">
        <v>0</v>
      </c>
      <c r="U63" s="4">
        <v>0.84</v>
      </c>
    </row>
    <row r="64" spans="1:21" x14ac:dyDescent="0.3">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12">
        <v>13.98</v>
      </c>
      <c r="S64">
        <v>2</v>
      </c>
      <c r="T64" s="4">
        <v>0</v>
      </c>
      <c r="U64" s="4">
        <v>6.1512000000000011</v>
      </c>
    </row>
    <row r="65" spans="1:21" x14ac:dyDescent="0.3">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12">
        <v>25.824000000000002</v>
      </c>
      <c r="S65">
        <v>6</v>
      </c>
      <c r="T65" s="4">
        <v>0.2</v>
      </c>
      <c r="U65" s="4">
        <v>9.3612000000000002</v>
      </c>
    </row>
    <row r="66" spans="1:21" x14ac:dyDescent="0.3">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12">
        <v>146.72999999999999</v>
      </c>
      <c r="S66">
        <v>3</v>
      </c>
      <c r="T66" s="4">
        <v>0</v>
      </c>
      <c r="U66" s="4">
        <v>68.963099999999997</v>
      </c>
    </row>
    <row r="67" spans="1:21" x14ac:dyDescent="0.3">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12">
        <v>79.760000000000005</v>
      </c>
      <c r="S67">
        <v>4</v>
      </c>
      <c r="T67" s="4">
        <v>0</v>
      </c>
      <c r="U67" s="4">
        <v>22.332800000000006</v>
      </c>
    </row>
    <row r="68" spans="1:21" x14ac:dyDescent="0.3">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12">
        <v>213.11499999999998</v>
      </c>
      <c r="S68">
        <v>5</v>
      </c>
      <c r="T68" s="4">
        <v>0.3</v>
      </c>
      <c r="U68" s="4">
        <v>-15.222500000000011</v>
      </c>
    </row>
    <row r="69" spans="1:21" x14ac:dyDescent="0.3">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12">
        <v>1113.0240000000001</v>
      </c>
      <c r="S69">
        <v>8</v>
      </c>
      <c r="T69" s="4">
        <v>0.2</v>
      </c>
      <c r="U69" s="4">
        <v>111.30239999999998</v>
      </c>
    </row>
    <row r="70" spans="1:21" x14ac:dyDescent="0.3">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12">
        <v>167.96800000000002</v>
      </c>
      <c r="S70">
        <v>4</v>
      </c>
      <c r="T70" s="4">
        <v>0.2</v>
      </c>
      <c r="U70" s="4">
        <v>62.988</v>
      </c>
    </row>
    <row r="71" spans="1:21" x14ac:dyDescent="0.3">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12">
        <v>75.88</v>
      </c>
      <c r="S71">
        <v>2</v>
      </c>
      <c r="T71" s="4">
        <v>0</v>
      </c>
      <c r="U71" s="4">
        <v>35.663599999999995</v>
      </c>
    </row>
    <row r="72" spans="1:21" x14ac:dyDescent="0.3">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12">
        <v>4.6159999999999997</v>
      </c>
      <c r="S72">
        <v>1</v>
      </c>
      <c r="T72" s="4">
        <v>0.2</v>
      </c>
      <c r="U72" s="4">
        <v>1.7309999999999999</v>
      </c>
    </row>
    <row r="73" spans="1:21" x14ac:dyDescent="0.3">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12">
        <v>19.049999999999997</v>
      </c>
      <c r="S73">
        <v>3</v>
      </c>
      <c r="T73" s="4">
        <v>0</v>
      </c>
      <c r="U73" s="4">
        <v>8.7629999999999999</v>
      </c>
    </row>
    <row r="74" spans="1:21" x14ac:dyDescent="0.3">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12">
        <v>831.93600000000015</v>
      </c>
      <c r="S74">
        <v>8</v>
      </c>
      <c r="T74" s="4">
        <v>0.2</v>
      </c>
      <c r="U74" s="4">
        <v>-114.39120000000003</v>
      </c>
    </row>
    <row r="75" spans="1:21" x14ac:dyDescent="0.3">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12">
        <v>97.04</v>
      </c>
      <c r="S75">
        <v>2</v>
      </c>
      <c r="T75" s="4">
        <v>0.2</v>
      </c>
      <c r="U75" s="4">
        <v>1.2129999999999974</v>
      </c>
    </row>
    <row r="76" spans="1:21" x14ac:dyDescent="0.3">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12">
        <v>72.784000000000006</v>
      </c>
      <c r="S76">
        <v>1</v>
      </c>
      <c r="T76" s="4">
        <v>0.2</v>
      </c>
      <c r="U76" s="4">
        <v>-18.196000000000002</v>
      </c>
    </row>
    <row r="77" spans="1:21" x14ac:dyDescent="0.3">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12">
        <v>1.2479999999999998</v>
      </c>
      <c r="S77">
        <v>3</v>
      </c>
      <c r="T77" s="4">
        <v>0.8</v>
      </c>
      <c r="U77" s="4">
        <v>-1.9344000000000006</v>
      </c>
    </row>
    <row r="78" spans="1:21" x14ac:dyDescent="0.3">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12">
        <v>9.7080000000000002</v>
      </c>
      <c r="S78">
        <v>3</v>
      </c>
      <c r="T78" s="4">
        <v>0.6</v>
      </c>
      <c r="U78" s="4">
        <v>-5.8248000000000015</v>
      </c>
    </row>
    <row r="79" spans="1:21" x14ac:dyDescent="0.3">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12">
        <v>27.240000000000002</v>
      </c>
      <c r="S79">
        <v>3</v>
      </c>
      <c r="T79" s="4">
        <v>0.2</v>
      </c>
      <c r="U79" s="4">
        <v>2.724000000000002</v>
      </c>
    </row>
    <row r="80" spans="1:21" x14ac:dyDescent="0.3">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12">
        <v>19.3</v>
      </c>
      <c r="S80">
        <v>5</v>
      </c>
      <c r="T80" s="4">
        <v>0.6</v>
      </c>
      <c r="U80" s="4">
        <v>-14.475000000000001</v>
      </c>
    </row>
    <row r="81" spans="1:21" x14ac:dyDescent="0.3">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12">
        <v>208.16</v>
      </c>
      <c r="S81">
        <v>1</v>
      </c>
      <c r="T81" s="4">
        <v>0</v>
      </c>
      <c r="U81" s="4">
        <v>56.20320000000001</v>
      </c>
    </row>
    <row r="82" spans="1:21" x14ac:dyDescent="0.3">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12">
        <v>16.740000000000002</v>
      </c>
      <c r="S82">
        <v>3</v>
      </c>
      <c r="T82" s="4">
        <v>0</v>
      </c>
      <c r="U82" s="4">
        <v>8.0351999999999997</v>
      </c>
    </row>
    <row r="83" spans="1:21" x14ac:dyDescent="0.3">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12">
        <v>14.9</v>
      </c>
      <c r="S83">
        <v>5</v>
      </c>
      <c r="T83" s="4">
        <v>0</v>
      </c>
      <c r="U83" s="4">
        <v>4.1720000000000006</v>
      </c>
    </row>
    <row r="84" spans="1:21" x14ac:dyDescent="0.3">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12">
        <v>21.39</v>
      </c>
      <c r="S84">
        <v>1</v>
      </c>
      <c r="T84" s="4">
        <v>0</v>
      </c>
      <c r="U84" s="4">
        <v>6.2030999999999992</v>
      </c>
    </row>
    <row r="85" spans="1:21" x14ac:dyDescent="0.3">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12">
        <v>200.98400000000004</v>
      </c>
      <c r="S85">
        <v>7</v>
      </c>
      <c r="T85" s="4">
        <v>0.2</v>
      </c>
      <c r="U85" s="4">
        <v>62.807499999999976</v>
      </c>
    </row>
    <row r="86" spans="1:21" x14ac:dyDescent="0.3">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12">
        <v>230.376</v>
      </c>
      <c r="S86">
        <v>3</v>
      </c>
      <c r="T86" s="4">
        <v>0.2</v>
      </c>
      <c r="U86" s="4">
        <v>-48.954900000000002</v>
      </c>
    </row>
    <row r="87" spans="1:21" x14ac:dyDescent="0.3">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12">
        <v>301.95999999999998</v>
      </c>
      <c r="S87">
        <v>2</v>
      </c>
      <c r="T87" s="4">
        <v>0</v>
      </c>
      <c r="U87" s="4">
        <v>33.215599999999995</v>
      </c>
    </row>
    <row r="88" spans="1:21" x14ac:dyDescent="0.3">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12">
        <v>19.989999999999998</v>
      </c>
      <c r="S88">
        <v>1</v>
      </c>
      <c r="T88" s="4">
        <v>0</v>
      </c>
      <c r="U88" s="4">
        <v>6.796599999999998</v>
      </c>
    </row>
    <row r="89" spans="1:21" x14ac:dyDescent="0.3">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12">
        <v>6.16</v>
      </c>
      <c r="S89">
        <v>2</v>
      </c>
      <c r="T89" s="4">
        <v>0</v>
      </c>
      <c r="U89" s="4">
        <v>2.9567999999999999</v>
      </c>
    </row>
    <row r="90" spans="1:21" x14ac:dyDescent="0.3">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12">
        <v>158.36800000000002</v>
      </c>
      <c r="S90">
        <v>7</v>
      </c>
      <c r="T90" s="4">
        <v>0.2</v>
      </c>
      <c r="U90" s="4">
        <v>13.857199999999999</v>
      </c>
    </row>
    <row r="91" spans="1:21" x14ac:dyDescent="0.3">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12">
        <v>20.100000000000001</v>
      </c>
      <c r="S91">
        <v>3</v>
      </c>
      <c r="T91" s="4">
        <v>0</v>
      </c>
      <c r="U91" s="4">
        <v>6.6329999999999982</v>
      </c>
    </row>
    <row r="92" spans="1:21" x14ac:dyDescent="0.3">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12">
        <v>73.584000000000003</v>
      </c>
      <c r="S92">
        <v>2</v>
      </c>
      <c r="T92" s="4">
        <v>0.2</v>
      </c>
      <c r="U92" s="4">
        <v>8.2781999999999982</v>
      </c>
    </row>
    <row r="93" spans="1:21" x14ac:dyDescent="0.3">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12">
        <v>6.48</v>
      </c>
      <c r="S93">
        <v>1</v>
      </c>
      <c r="T93" s="4">
        <v>0</v>
      </c>
      <c r="U93" s="4">
        <v>3.1104000000000003</v>
      </c>
    </row>
    <row r="94" spans="1:21" x14ac:dyDescent="0.3">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12">
        <v>12.96</v>
      </c>
      <c r="S94">
        <v>2</v>
      </c>
      <c r="T94" s="4">
        <v>0</v>
      </c>
      <c r="U94" s="4">
        <v>6.2208000000000006</v>
      </c>
    </row>
    <row r="95" spans="1:21" x14ac:dyDescent="0.3">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12">
        <v>53.34</v>
      </c>
      <c r="S95">
        <v>3</v>
      </c>
      <c r="T95" s="4">
        <v>0</v>
      </c>
      <c r="U95" s="4">
        <v>16.535399999999996</v>
      </c>
    </row>
    <row r="96" spans="1:21" x14ac:dyDescent="0.3">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12">
        <v>32.96</v>
      </c>
      <c r="S96">
        <v>2</v>
      </c>
      <c r="T96" s="4">
        <v>0</v>
      </c>
      <c r="U96" s="4">
        <v>16.150400000000001</v>
      </c>
    </row>
    <row r="97" spans="1:21" x14ac:dyDescent="0.3">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12">
        <v>5.6820000000000013</v>
      </c>
      <c r="S97">
        <v>1</v>
      </c>
      <c r="T97" s="4">
        <v>0.7</v>
      </c>
      <c r="U97" s="4">
        <v>-3.7880000000000003</v>
      </c>
    </row>
    <row r="98" spans="1:21" x14ac:dyDescent="0.3">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12">
        <v>96.53</v>
      </c>
      <c r="S98">
        <v>7</v>
      </c>
      <c r="T98" s="4">
        <v>0</v>
      </c>
      <c r="U98" s="4">
        <v>40.5426</v>
      </c>
    </row>
    <row r="99" spans="1:21" x14ac:dyDescent="0.3">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12">
        <v>51.311999999999998</v>
      </c>
      <c r="S99">
        <v>3</v>
      </c>
      <c r="T99" s="4">
        <v>0.2</v>
      </c>
      <c r="U99" s="4">
        <v>17.959199999999999</v>
      </c>
    </row>
    <row r="100" spans="1:21" x14ac:dyDescent="0.3">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12">
        <v>77.88</v>
      </c>
      <c r="S100">
        <v>6</v>
      </c>
      <c r="T100" s="4">
        <v>0</v>
      </c>
      <c r="U100" s="4">
        <v>22.585199999999993</v>
      </c>
    </row>
  </sheetData>
  <autoFilter ref="R1:R100" xr:uid="{26294397-68AC-48E3-9C48-E054FD48A865}"/>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D8B75-72C6-4D86-954B-A4F2DB9229B6}">
  <sheetPr>
    <tabColor theme="9" tint="-0.499984740745262"/>
  </sheetPr>
  <dimension ref="A1:Q2"/>
  <sheetViews>
    <sheetView showGridLines="0" zoomScale="89" workbookViewId="0">
      <selection activeCell="P34" sqref="P34"/>
    </sheetView>
  </sheetViews>
  <sheetFormatPr defaultRowHeight="14.4" x14ac:dyDescent="0.3"/>
  <cols>
    <col min="1" max="1" width="8.88671875" style="17" customWidth="1"/>
    <col min="2" max="16384" width="8.88671875" style="17"/>
  </cols>
  <sheetData>
    <row r="1" spans="1:17" ht="21" customHeight="1" x14ac:dyDescent="0.3">
      <c r="A1" s="19" t="s">
        <v>471</v>
      </c>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sheetData>
  <mergeCells count="1">
    <mergeCell ref="A1:Q2"/>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88418-764A-40E0-AB0D-241FCC0A7E78}">
  <dimension ref="A3:M28"/>
  <sheetViews>
    <sheetView showGridLines="0" workbookViewId="0">
      <selection activeCell="Q8" sqref="Q8"/>
    </sheetView>
  </sheetViews>
  <sheetFormatPr defaultRowHeight="14.4" x14ac:dyDescent="0.3"/>
  <cols>
    <col min="1" max="1" width="12.5546875" bestFit="1" customWidth="1"/>
    <col min="2" max="2" width="11.6640625" bestFit="1" customWidth="1"/>
  </cols>
  <sheetData>
    <row r="3" spans="1:2" x14ac:dyDescent="0.3">
      <c r="A3" s="6" t="s">
        <v>443</v>
      </c>
      <c r="B3" t="s">
        <v>449</v>
      </c>
    </row>
    <row r="4" spans="1:2" x14ac:dyDescent="0.3">
      <c r="A4" s="7" t="s">
        <v>445</v>
      </c>
      <c r="B4" s="14">
        <v>6228.9860000000008</v>
      </c>
    </row>
    <row r="5" spans="1:2" x14ac:dyDescent="0.3">
      <c r="A5" s="10" t="s">
        <v>468</v>
      </c>
      <c r="B5" s="14">
        <v>3769.8040000000001</v>
      </c>
    </row>
    <row r="6" spans="1:2" x14ac:dyDescent="0.3">
      <c r="A6" s="10" t="s">
        <v>469</v>
      </c>
      <c r="B6" s="14">
        <v>244.76000000000002</v>
      </c>
    </row>
    <row r="7" spans="1:2" x14ac:dyDescent="0.3">
      <c r="A7" s="10" t="s">
        <v>467</v>
      </c>
      <c r="B7" s="14">
        <v>2214.422</v>
      </c>
    </row>
    <row r="8" spans="1:2" x14ac:dyDescent="0.3">
      <c r="A8" s="7" t="s">
        <v>446</v>
      </c>
      <c r="B8" s="14">
        <v>8645.2797000000028</v>
      </c>
    </row>
    <row r="9" spans="1:2" x14ac:dyDescent="0.3">
      <c r="A9" s="10" t="s">
        <v>470</v>
      </c>
      <c r="B9" s="14">
        <v>99.260000000000019</v>
      </c>
    </row>
    <row r="10" spans="1:2" x14ac:dyDescent="0.3">
      <c r="A10" s="10" t="s">
        <v>468</v>
      </c>
      <c r="B10" s="14">
        <v>1424.4250000000002</v>
      </c>
    </row>
    <row r="11" spans="1:2" x14ac:dyDescent="0.3">
      <c r="A11" s="10" t="s">
        <v>469</v>
      </c>
      <c r="B11" s="14">
        <v>4575.0480000000016</v>
      </c>
    </row>
    <row r="12" spans="1:2" x14ac:dyDescent="0.3">
      <c r="A12" s="10" t="s">
        <v>467</v>
      </c>
      <c r="B12" s="14">
        <v>2546.5467000000003</v>
      </c>
    </row>
    <row r="13" spans="1:2" x14ac:dyDescent="0.3">
      <c r="A13" s="7" t="s">
        <v>447</v>
      </c>
      <c r="B13" s="14">
        <v>5437.2060000000001</v>
      </c>
    </row>
    <row r="14" spans="1:2" x14ac:dyDescent="0.3">
      <c r="A14" s="10" t="s">
        <v>470</v>
      </c>
      <c r="B14" s="14">
        <v>165.65800000000002</v>
      </c>
    </row>
    <row r="15" spans="1:2" x14ac:dyDescent="0.3">
      <c r="A15" s="10" t="s">
        <v>468</v>
      </c>
      <c r="B15" s="14">
        <v>1195.6579999999997</v>
      </c>
    </row>
    <row r="16" spans="1:2" x14ac:dyDescent="0.3">
      <c r="A16" s="10" t="s">
        <v>469</v>
      </c>
      <c r="B16" s="14">
        <v>260.53999999999996</v>
      </c>
    </row>
    <row r="17" spans="1:13" x14ac:dyDescent="0.3">
      <c r="A17" s="10" t="s">
        <v>467</v>
      </c>
      <c r="B17" s="14">
        <v>3815.3500000000004</v>
      </c>
    </row>
    <row r="18" spans="1:13" x14ac:dyDescent="0.3">
      <c r="A18" s="7" t="s">
        <v>448</v>
      </c>
      <c r="B18" s="14">
        <v>1128.4360000000001</v>
      </c>
    </row>
    <row r="19" spans="1:13" x14ac:dyDescent="0.3">
      <c r="A19" s="10" t="s">
        <v>468</v>
      </c>
      <c r="B19" s="14">
        <v>368.82400000000001</v>
      </c>
    </row>
    <row r="20" spans="1:13" x14ac:dyDescent="0.3">
      <c r="A20" s="10" t="s">
        <v>469</v>
      </c>
      <c r="B20" s="14">
        <v>333.20600000000002</v>
      </c>
    </row>
    <row r="21" spans="1:13" x14ac:dyDescent="0.3">
      <c r="A21" s="10" t="s">
        <v>467</v>
      </c>
      <c r="B21" s="14">
        <v>426.40600000000006</v>
      </c>
    </row>
    <row r="22" spans="1:13" x14ac:dyDescent="0.3">
      <c r="A22" s="7" t="s">
        <v>444</v>
      </c>
      <c r="B22" s="14">
        <v>21439.9077</v>
      </c>
    </row>
    <row r="28" spans="1:13" x14ac:dyDescent="0.3">
      <c r="M28" t="s">
        <v>451</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ECF65-6213-4851-ACB3-5AE0C5C6432E}">
  <dimension ref="A1:U100"/>
  <sheetViews>
    <sheetView showGridLines="0" workbookViewId="0">
      <selection activeCell="K22" sqref="K22"/>
    </sheetView>
  </sheetViews>
  <sheetFormatPr defaultRowHeight="14.4" x14ac:dyDescent="0.3"/>
  <cols>
    <col min="1" max="1" width="7.44140625" customWidth="1"/>
    <col min="2" max="2" width="15.5546875" bestFit="1" customWidth="1"/>
    <col min="3" max="3" width="11.21875" bestFit="1" customWidth="1"/>
    <col min="4" max="4" width="11.109375" bestFit="1" customWidth="1"/>
    <col min="5" max="5" width="14" bestFit="1" customWidth="1"/>
    <col min="6" max="6" width="12.44140625" customWidth="1"/>
    <col min="7" max="7" width="16.109375" bestFit="1" customWidth="1"/>
    <col min="8" max="8" width="9.6640625" bestFit="1" customWidth="1"/>
    <col min="9" max="9" width="12.33203125" bestFit="1" customWidth="1"/>
    <col min="10" max="10" width="12.109375" bestFit="1" customWidth="1"/>
    <col min="11" max="11" width="12.6640625" bestFit="1" customWidth="1"/>
    <col min="12" max="12" width="12" bestFit="1" customWidth="1"/>
    <col min="13" max="13" width="7.33203125" bestFit="1" customWidth="1"/>
    <col min="14" max="14" width="17" bestFit="1" customWidth="1"/>
    <col min="15" max="15" width="14" bestFit="1" customWidth="1"/>
    <col min="16" max="16" width="13.44140625" bestFit="1" customWidth="1"/>
    <col min="17" max="17" width="60.33203125" bestFit="1" customWidth="1"/>
    <col min="18" max="18" width="11.109375" bestFit="1" customWidth="1"/>
    <col min="19" max="19" width="10.77734375" bestFit="1" customWidth="1"/>
    <col min="20" max="21" width="9.109375" bestFit="1" customWidth="1"/>
  </cols>
  <sheetData>
    <row r="1" spans="1:21" ht="15.6"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20</v>
      </c>
      <c r="T1" s="2" t="s">
        <v>18</v>
      </c>
      <c r="U1" s="2" t="s">
        <v>19</v>
      </c>
    </row>
    <row r="2" spans="1:21" x14ac:dyDescent="0.3">
      <c r="A2">
        <v>11</v>
      </c>
      <c r="B2" t="s">
        <v>60</v>
      </c>
      <c r="C2" s="1">
        <v>41799</v>
      </c>
      <c r="D2" s="1">
        <v>41804</v>
      </c>
      <c r="E2" t="s">
        <v>49</v>
      </c>
      <c r="F2" t="s">
        <v>61</v>
      </c>
      <c r="G2" t="s">
        <v>62</v>
      </c>
      <c r="H2" t="s">
        <v>25</v>
      </c>
      <c r="I2" t="s">
        <v>26</v>
      </c>
      <c r="J2" t="s">
        <v>41</v>
      </c>
      <c r="K2" t="s">
        <v>42</v>
      </c>
      <c r="L2">
        <v>90032</v>
      </c>
      <c r="M2" t="s">
        <v>43</v>
      </c>
      <c r="N2" t="s">
        <v>79</v>
      </c>
      <c r="O2" t="s">
        <v>31</v>
      </c>
      <c r="P2" t="s">
        <v>55</v>
      </c>
      <c r="Q2" t="s">
        <v>80</v>
      </c>
      <c r="R2" s="4">
        <v>1706.1840000000002</v>
      </c>
      <c r="S2" s="4">
        <v>85.309199999999805</v>
      </c>
      <c r="T2">
        <v>9</v>
      </c>
      <c r="U2" s="4">
        <v>0.2</v>
      </c>
    </row>
    <row r="3" spans="1:21" x14ac:dyDescent="0.3">
      <c r="A3">
        <v>25</v>
      </c>
      <c r="B3" t="s">
        <v>150</v>
      </c>
      <c r="C3" s="1">
        <v>42272</v>
      </c>
      <c r="D3" s="1">
        <v>42277</v>
      </c>
      <c r="E3" t="s">
        <v>49</v>
      </c>
      <c r="F3" t="s">
        <v>151</v>
      </c>
      <c r="G3" t="s">
        <v>152</v>
      </c>
      <c r="H3" t="s">
        <v>25</v>
      </c>
      <c r="I3" t="s">
        <v>26</v>
      </c>
      <c r="J3" t="s">
        <v>153</v>
      </c>
      <c r="K3" t="s">
        <v>120</v>
      </c>
      <c r="L3">
        <v>84057</v>
      </c>
      <c r="M3" t="s">
        <v>43</v>
      </c>
      <c r="N3" t="s">
        <v>54</v>
      </c>
      <c r="O3" t="s">
        <v>31</v>
      </c>
      <c r="P3" t="s">
        <v>55</v>
      </c>
      <c r="Q3" t="s">
        <v>56</v>
      </c>
      <c r="R3" s="4">
        <v>1044.6299999999999</v>
      </c>
      <c r="S3" s="4">
        <v>240.26490000000001</v>
      </c>
      <c r="T3">
        <v>3</v>
      </c>
      <c r="U3" s="4">
        <v>0</v>
      </c>
    </row>
    <row r="4" spans="1:21" x14ac:dyDescent="0.3">
      <c r="A4">
        <v>28</v>
      </c>
      <c r="B4" t="s">
        <v>162</v>
      </c>
      <c r="C4" s="1">
        <v>42264</v>
      </c>
      <c r="D4" s="1">
        <v>42268</v>
      </c>
      <c r="E4" t="s">
        <v>49</v>
      </c>
      <c r="F4" t="s">
        <v>163</v>
      </c>
      <c r="G4" t="s">
        <v>164</v>
      </c>
      <c r="H4" t="s">
        <v>25</v>
      </c>
      <c r="I4" t="s">
        <v>26</v>
      </c>
      <c r="J4" t="s">
        <v>145</v>
      </c>
      <c r="K4" t="s">
        <v>146</v>
      </c>
      <c r="L4">
        <v>19140</v>
      </c>
      <c r="M4" t="s">
        <v>147</v>
      </c>
      <c r="N4" t="s">
        <v>165</v>
      </c>
      <c r="O4" t="s">
        <v>31</v>
      </c>
      <c r="P4" t="s">
        <v>32</v>
      </c>
      <c r="Q4" t="s">
        <v>166</v>
      </c>
      <c r="R4" s="4">
        <v>3083.4300000000003</v>
      </c>
      <c r="S4" s="4">
        <v>-1665.0522000000001</v>
      </c>
      <c r="T4">
        <v>7</v>
      </c>
      <c r="U4" s="4">
        <v>0.5</v>
      </c>
    </row>
    <row r="5" spans="1:21" x14ac:dyDescent="0.3">
      <c r="A5">
        <v>36</v>
      </c>
      <c r="B5" t="s">
        <v>186</v>
      </c>
      <c r="C5" s="1">
        <v>42712</v>
      </c>
      <c r="D5" s="1">
        <v>42714</v>
      </c>
      <c r="E5" t="s">
        <v>187</v>
      </c>
      <c r="F5" t="s">
        <v>188</v>
      </c>
      <c r="G5" t="s">
        <v>189</v>
      </c>
      <c r="H5" t="s">
        <v>40</v>
      </c>
      <c r="I5" t="s">
        <v>26</v>
      </c>
      <c r="J5" t="s">
        <v>190</v>
      </c>
      <c r="K5" t="s">
        <v>103</v>
      </c>
      <c r="L5">
        <v>75080</v>
      </c>
      <c r="M5" t="s">
        <v>104</v>
      </c>
      <c r="N5" t="s">
        <v>191</v>
      </c>
      <c r="O5" t="s">
        <v>70</v>
      </c>
      <c r="P5" t="s">
        <v>71</v>
      </c>
      <c r="Q5" t="s">
        <v>192</v>
      </c>
      <c r="R5" s="4">
        <v>1097.5440000000003</v>
      </c>
      <c r="S5" s="4">
        <v>123.47369999999989</v>
      </c>
      <c r="T5">
        <v>7</v>
      </c>
      <c r="U5" s="4">
        <v>0.2</v>
      </c>
    </row>
    <row r="6" spans="1:21" x14ac:dyDescent="0.3">
      <c r="A6">
        <v>68</v>
      </c>
      <c r="B6" t="s">
        <v>305</v>
      </c>
      <c r="C6" s="1">
        <v>41978</v>
      </c>
      <c r="D6" s="1">
        <v>41983</v>
      </c>
      <c r="E6" t="s">
        <v>49</v>
      </c>
      <c r="F6" t="s">
        <v>306</v>
      </c>
      <c r="G6" t="s">
        <v>307</v>
      </c>
      <c r="H6" t="s">
        <v>40</v>
      </c>
      <c r="I6" t="s">
        <v>26</v>
      </c>
      <c r="J6" t="s">
        <v>308</v>
      </c>
      <c r="K6" t="s">
        <v>309</v>
      </c>
      <c r="L6">
        <v>85234</v>
      </c>
      <c r="M6" t="s">
        <v>43</v>
      </c>
      <c r="N6" t="s">
        <v>310</v>
      </c>
      <c r="O6" t="s">
        <v>45</v>
      </c>
      <c r="P6" t="s">
        <v>67</v>
      </c>
      <c r="Q6" t="s">
        <v>311</v>
      </c>
      <c r="R6" s="4">
        <v>1113.0240000000001</v>
      </c>
      <c r="S6" s="4">
        <v>111.30239999999998</v>
      </c>
      <c r="T6">
        <v>8</v>
      </c>
      <c r="U6" s="4">
        <v>0.2</v>
      </c>
    </row>
    <row r="7" spans="1:21" x14ac:dyDescent="0.3">
      <c r="A7" s="4"/>
    </row>
    <row r="8" spans="1:21" x14ac:dyDescent="0.3">
      <c r="A8" s="4"/>
    </row>
    <row r="9" spans="1:21" ht="15.6" x14ac:dyDescent="0.3">
      <c r="A9" s="4"/>
      <c r="R9" s="11"/>
      <c r="S9" s="11"/>
      <c r="T9" s="11"/>
    </row>
    <row r="10" spans="1:21" x14ac:dyDescent="0.3">
      <c r="A10" s="4"/>
      <c r="R10" s="4"/>
      <c r="T10" s="4"/>
    </row>
    <row r="11" spans="1:21" x14ac:dyDescent="0.3">
      <c r="A11" s="4"/>
      <c r="R11" s="4"/>
      <c r="T11" s="4"/>
    </row>
    <row r="12" spans="1:21" x14ac:dyDescent="0.3">
      <c r="A12" s="4"/>
      <c r="R12" s="4"/>
      <c r="T12" s="4"/>
    </row>
    <row r="13" spans="1:21" x14ac:dyDescent="0.3">
      <c r="A13" s="4"/>
      <c r="R13" s="4"/>
      <c r="T13" s="4"/>
    </row>
    <row r="14" spans="1:21" x14ac:dyDescent="0.3">
      <c r="A14" s="4"/>
      <c r="R14" s="4"/>
      <c r="T14" s="4"/>
    </row>
    <row r="15" spans="1:21" x14ac:dyDescent="0.3">
      <c r="A15" s="4"/>
    </row>
    <row r="16" spans="1:21" x14ac:dyDescent="0.3">
      <c r="A16" s="4"/>
    </row>
    <row r="17" spans="1:1" x14ac:dyDescent="0.3">
      <c r="A17" s="4"/>
    </row>
    <row r="18" spans="1:1" x14ac:dyDescent="0.3">
      <c r="A18" s="4"/>
    </row>
    <row r="19" spans="1:1" x14ac:dyDescent="0.3">
      <c r="A19" s="4"/>
    </row>
    <row r="20" spans="1:1" x14ac:dyDescent="0.3">
      <c r="A20" s="4"/>
    </row>
    <row r="21" spans="1:1" x14ac:dyDescent="0.3">
      <c r="A21" s="4"/>
    </row>
    <row r="22" spans="1:1" x14ac:dyDescent="0.3">
      <c r="A22" s="4"/>
    </row>
    <row r="23" spans="1:1" x14ac:dyDescent="0.3">
      <c r="A23" s="4"/>
    </row>
    <row r="24" spans="1:1" x14ac:dyDescent="0.3">
      <c r="A24" s="4"/>
    </row>
    <row r="25" spans="1:1" x14ac:dyDescent="0.3">
      <c r="A25" s="4"/>
    </row>
    <row r="26" spans="1:1" x14ac:dyDescent="0.3">
      <c r="A26" s="4"/>
    </row>
    <row r="27" spans="1:1" x14ac:dyDescent="0.3">
      <c r="A27" s="4"/>
    </row>
    <row r="28" spans="1:1" x14ac:dyDescent="0.3">
      <c r="A28" s="4"/>
    </row>
    <row r="29" spans="1:1" x14ac:dyDescent="0.3">
      <c r="A29" s="4"/>
    </row>
    <row r="30" spans="1:1" x14ac:dyDescent="0.3">
      <c r="A30" s="4"/>
    </row>
    <row r="31" spans="1:1" x14ac:dyDescent="0.3">
      <c r="A31" s="4"/>
    </row>
    <row r="32" spans="1:1" x14ac:dyDescent="0.3">
      <c r="A32" s="4"/>
    </row>
    <row r="33" spans="1:1" x14ac:dyDescent="0.3">
      <c r="A33" s="4"/>
    </row>
    <row r="34" spans="1:1" x14ac:dyDescent="0.3">
      <c r="A34" s="4"/>
    </row>
    <row r="35" spans="1:1" x14ac:dyDescent="0.3">
      <c r="A35" s="4"/>
    </row>
    <row r="36" spans="1:1" x14ac:dyDescent="0.3">
      <c r="A36" s="4"/>
    </row>
    <row r="37" spans="1:1" x14ac:dyDescent="0.3">
      <c r="A37" s="4"/>
    </row>
    <row r="38" spans="1:1" x14ac:dyDescent="0.3">
      <c r="A38" s="4"/>
    </row>
    <row r="39" spans="1:1" x14ac:dyDescent="0.3">
      <c r="A39" s="4"/>
    </row>
    <row r="40" spans="1:1" x14ac:dyDescent="0.3">
      <c r="A40" s="4"/>
    </row>
    <row r="41" spans="1:1" x14ac:dyDescent="0.3">
      <c r="A41" s="4"/>
    </row>
    <row r="42" spans="1:1" x14ac:dyDescent="0.3">
      <c r="A42" s="4"/>
    </row>
    <row r="43" spans="1:1" x14ac:dyDescent="0.3">
      <c r="A43" s="4"/>
    </row>
    <row r="44" spans="1:1" x14ac:dyDescent="0.3">
      <c r="A44" s="4"/>
    </row>
    <row r="45" spans="1:1" x14ac:dyDescent="0.3">
      <c r="A45" s="4"/>
    </row>
    <row r="46" spans="1:1" x14ac:dyDescent="0.3">
      <c r="A46" s="4"/>
    </row>
    <row r="47" spans="1:1" x14ac:dyDescent="0.3">
      <c r="A47" s="4"/>
    </row>
    <row r="48" spans="1:1" x14ac:dyDescent="0.3">
      <c r="A48" s="4"/>
    </row>
    <row r="49" spans="1:1" x14ac:dyDescent="0.3">
      <c r="A49" s="4"/>
    </row>
    <row r="50" spans="1:1" x14ac:dyDescent="0.3">
      <c r="A50" s="4"/>
    </row>
    <row r="51" spans="1:1" x14ac:dyDescent="0.3">
      <c r="A51" s="4"/>
    </row>
    <row r="52" spans="1:1" x14ac:dyDescent="0.3">
      <c r="A52" s="4"/>
    </row>
    <row r="53" spans="1:1" x14ac:dyDescent="0.3">
      <c r="A53" s="4"/>
    </row>
    <row r="54" spans="1:1" x14ac:dyDescent="0.3">
      <c r="A54" s="4"/>
    </row>
    <row r="55" spans="1:1" x14ac:dyDescent="0.3">
      <c r="A55" s="4"/>
    </row>
    <row r="56" spans="1:1" x14ac:dyDescent="0.3">
      <c r="A56" s="4"/>
    </row>
    <row r="57" spans="1:1" x14ac:dyDescent="0.3">
      <c r="A57" s="4"/>
    </row>
    <row r="58" spans="1:1" x14ac:dyDescent="0.3">
      <c r="A58" s="4"/>
    </row>
    <row r="59" spans="1:1" x14ac:dyDescent="0.3">
      <c r="A59" s="4"/>
    </row>
    <row r="60" spans="1:1" x14ac:dyDescent="0.3">
      <c r="A60" s="4"/>
    </row>
    <row r="61" spans="1:1" x14ac:dyDescent="0.3">
      <c r="A61" s="4"/>
    </row>
    <row r="62" spans="1:1" x14ac:dyDescent="0.3">
      <c r="A62" s="4"/>
    </row>
    <row r="63" spans="1:1" x14ac:dyDescent="0.3">
      <c r="A63" s="4"/>
    </row>
    <row r="64" spans="1:1" x14ac:dyDescent="0.3">
      <c r="A64" s="4"/>
    </row>
    <row r="65" spans="1:1" x14ac:dyDescent="0.3">
      <c r="A65" s="4"/>
    </row>
    <row r="66" spans="1:1" x14ac:dyDescent="0.3">
      <c r="A66" s="4"/>
    </row>
    <row r="67" spans="1:1" x14ac:dyDescent="0.3">
      <c r="A67" s="4"/>
    </row>
    <row r="68" spans="1:1" x14ac:dyDescent="0.3">
      <c r="A68" s="4"/>
    </row>
    <row r="69" spans="1:1" x14ac:dyDescent="0.3">
      <c r="A69" s="4"/>
    </row>
    <row r="70" spans="1:1" x14ac:dyDescent="0.3">
      <c r="A70" s="4"/>
    </row>
    <row r="71" spans="1:1" x14ac:dyDescent="0.3">
      <c r="A71" s="4"/>
    </row>
    <row r="72" spans="1:1" x14ac:dyDescent="0.3">
      <c r="A72" s="4"/>
    </row>
    <row r="73" spans="1:1" x14ac:dyDescent="0.3">
      <c r="A73" s="4"/>
    </row>
    <row r="74" spans="1:1" x14ac:dyDescent="0.3">
      <c r="A74" s="4"/>
    </row>
    <row r="75" spans="1:1" x14ac:dyDescent="0.3">
      <c r="A75" s="4"/>
    </row>
    <row r="76" spans="1:1" x14ac:dyDescent="0.3">
      <c r="A76" s="4"/>
    </row>
    <row r="77" spans="1:1" x14ac:dyDescent="0.3">
      <c r="A77" s="4"/>
    </row>
    <row r="78" spans="1:1" x14ac:dyDescent="0.3">
      <c r="A78" s="4"/>
    </row>
    <row r="79" spans="1:1" x14ac:dyDescent="0.3">
      <c r="A79" s="4"/>
    </row>
    <row r="80" spans="1:1" x14ac:dyDescent="0.3">
      <c r="A80" s="4"/>
    </row>
    <row r="81" spans="1:1" x14ac:dyDescent="0.3">
      <c r="A81" s="4"/>
    </row>
    <row r="82" spans="1:1" x14ac:dyDescent="0.3">
      <c r="A82" s="4"/>
    </row>
    <row r="83" spans="1:1" x14ac:dyDescent="0.3">
      <c r="A83" s="4"/>
    </row>
    <row r="84" spans="1:1" x14ac:dyDescent="0.3">
      <c r="A84" s="4"/>
    </row>
    <row r="85" spans="1:1" x14ac:dyDescent="0.3">
      <c r="A85" s="4"/>
    </row>
    <row r="86" spans="1:1" x14ac:dyDescent="0.3">
      <c r="A86" s="4"/>
    </row>
    <row r="87" spans="1:1" x14ac:dyDescent="0.3">
      <c r="A87" s="4"/>
    </row>
    <row r="88" spans="1:1" x14ac:dyDescent="0.3">
      <c r="A88" s="4"/>
    </row>
    <row r="89" spans="1:1" x14ac:dyDescent="0.3">
      <c r="A89" s="4"/>
    </row>
    <row r="90" spans="1:1" x14ac:dyDescent="0.3">
      <c r="A90" s="4"/>
    </row>
    <row r="91" spans="1:1" x14ac:dyDescent="0.3">
      <c r="A91" s="4"/>
    </row>
    <row r="92" spans="1:1" x14ac:dyDescent="0.3">
      <c r="A92" s="4"/>
    </row>
    <row r="93" spans="1:1" x14ac:dyDescent="0.3">
      <c r="A93" s="4"/>
    </row>
    <row r="94" spans="1:1" x14ac:dyDescent="0.3">
      <c r="A94" s="4"/>
    </row>
    <row r="95" spans="1:1" x14ac:dyDescent="0.3">
      <c r="A95" s="4"/>
    </row>
    <row r="96" spans="1:1" x14ac:dyDescent="0.3">
      <c r="A96" s="4"/>
    </row>
    <row r="97" spans="1:1" x14ac:dyDescent="0.3">
      <c r="A97" s="4"/>
    </row>
    <row r="98" spans="1:1" x14ac:dyDescent="0.3">
      <c r="A98" s="4"/>
    </row>
    <row r="99" spans="1:1" x14ac:dyDescent="0.3">
      <c r="A99" s="4"/>
    </row>
    <row r="100" spans="1:1" x14ac:dyDescent="0.3">
      <c r="A100" s="4"/>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99342-2952-4084-863E-D9639D63B98F}">
  <dimension ref="A3:B21"/>
  <sheetViews>
    <sheetView showGridLines="0" workbookViewId="0">
      <selection activeCell="B5" sqref="B5"/>
    </sheetView>
  </sheetViews>
  <sheetFormatPr defaultRowHeight="14.4" x14ac:dyDescent="0.3"/>
  <cols>
    <col min="1" max="1" width="15.5546875" bestFit="1" customWidth="1"/>
    <col min="2" max="2" width="11.6640625" bestFit="1" customWidth="1"/>
  </cols>
  <sheetData>
    <row r="3" spans="1:2" x14ac:dyDescent="0.3">
      <c r="A3" s="6" t="s">
        <v>443</v>
      </c>
      <c r="B3" t="s">
        <v>449</v>
      </c>
    </row>
    <row r="4" spans="1:2" x14ac:dyDescent="0.3">
      <c r="A4" s="7" t="s">
        <v>31</v>
      </c>
      <c r="B4" s="14">
        <v>11083.779699999999</v>
      </c>
    </row>
    <row r="5" spans="1:2" x14ac:dyDescent="0.3">
      <c r="A5" s="8" t="s">
        <v>32</v>
      </c>
      <c r="B5" s="14">
        <v>3877.7892000000002</v>
      </c>
    </row>
    <row r="6" spans="1:2" x14ac:dyDescent="0.3">
      <c r="A6" s="8" t="s">
        <v>35</v>
      </c>
      <c r="B6" s="14">
        <v>2771.7809999999999</v>
      </c>
    </row>
    <row r="7" spans="1:2" x14ac:dyDescent="0.3">
      <c r="A7" s="8" t="s">
        <v>64</v>
      </c>
      <c r="B7" s="14">
        <v>725.81799999999998</v>
      </c>
    </row>
    <row r="8" spans="1:2" x14ac:dyDescent="0.3">
      <c r="A8" s="8" t="s">
        <v>55</v>
      </c>
      <c r="B8" s="14">
        <v>3708.3914999999997</v>
      </c>
    </row>
    <row r="9" spans="1:2" x14ac:dyDescent="0.3">
      <c r="A9" s="7" t="s">
        <v>45</v>
      </c>
      <c r="B9" s="14">
        <v>5169.3700000000008</v>
      </c>
    </row>
    <row r="10" spans="1:2" x14ac:dyDescent="0.3">
      <c r="A10" s="8" t="s">
        <v>77</v>
      </c>
      <c r="B10" s="14">
        <v>530.08999999999992</v>
      </c>
    </row>
    <row r="11" spans="1:2" x14ac:dyDescent="0.3">
      <c r="A11" s="8" t="s">
        <v>67</v>
      </c>
      <c r="B11" s="14">
        <v>1287.0680000000002</v>
      </c>
    </row>
    <row r="12" spans="1:2" x14ac:dyDescent="0.3">
      <c r="A12" s="8" t="s">
        <v>74</v>
      </c>
      <c r="B12" s="14">
        <v>722.41000000000008</v>
      </c>
    </row>
    <row r="13" spans="1:2" x14ac:dyDescent="0.3">
      <c r="A13" s="8" t="s">
        <v>172</v>
      </c>
      <c r="B13" s="14">
        <v>317.57600000000002</v>
      </c>
    </row>
    <row r="14" spans="1:2" x14ac:dyDescent="0.3">
      <c r="A14" s="8" t="s">
        <v>268</v>
      </c>
      <c r="B14" s="14">
        <v>15.260000000000002</v>
      </c>
    </row>
    <row r="15" spans="1:2" x14ac:dyDescent="0.3">
      <c r="A15" s="8" t="s">
        <v>46</v>
      </c>
      <c r="B15" s="14">
        <v>95.96</v>
      </c>
    </row>
    <row r="16" spans="1:2" x14ac:dyDescent="0.3">
      <c r="A16" s="8" t="s">
        <v>89</v>
      </c>
      <c r="B16" s="14">
        <v>353.084</v>
      </c>
    </row>
    <row r="17" spans="1:2" x14ac:dyDescent="0.3">
      <c r="A17" s="8" t="s">
        <v>58</v>
      </c>
      <c r="B17" s="14">
        <v>1847.922</v>
      </c>
    </row>
    <row r="18" spans="1:2" x14ac:dyDescent="0.3">
      <c r="A18" s="7" t="s">
        <v>70</v>
      </c>
      <c r="B18" s="14">
        <v>5186.7580000000007</v>
      </c>
    </row>
    <row r="19" spans="1:2" x14ac:dyDescent="0.3">
      <c r="A19" s="8" t="s">
        <v>160</v>
      </c>
      <c r="B19" s="14">
        <v>245.52</v>
      </c>
    </row>
    <row r="20" spans="1:2" x14ac:dyDescent="0.3">
      <c r="A20" s="8" t="s">
        <v>71</v>
      </c>
      <c r="B20" s="14">
        <v>4941.2380000000003</v>
      </c>
    </row>
    <row r="21" spans="1:2" x14ac:dyDescent="0.3">
      <c r="A21" s="7" t="s">
        <v>444</v>
      </c>
      <c r="B21" s="14">
        <v>21439.9077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AD9B-4043-4B29-A7B1-B8E406279AE2}">
  <dimension ref="A3:C8"/>
  <sheetViews>
    <sheetView showGridLines="0" workbookViewId="0">
      <selection activeCell="F6" sqref="F6"/>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443</v>
      </c>
      <c r="B3" t="s">
        <v>449</v>
      </c>
      <c r="C3" t="s">
        <v>450</v>
      </c>
    </row>
    <row r="4" spans="1:3" x14ac:dyDescent="0.3">
      <c r="A4" s="7" t="s">
        <v>104</v>
      </c>
      <c r="B4" s="14">
        <v>4877.7361999999994</v>
      </c>
      <c r="C4" s="14">
        <v>43.44019999999977</v>
      </c>
    </row>
    <row r="5" spans="1:3" x14ac:dyDescent="0.3">
      <c r="A5" s="7" t="s">
        <v>147</v>
      </c>
      <c r="B5" s="14">
        <v>5269.0520000000006</v>
      </c>
      <c r="C5" s="14">
        <v>-1188.4077</v>
      </c>
    </row>
    <row r="6" spans="1:3" x14ac:dyDescent="0.3">
      <c r="A6" s="7" t="s">
        <v>29</v>
      </c>
      <c r="B6" s="14">
        <v>3890.4974999999999</v>
      </c>
      <c r="C6" s="14">
        <v>-39.463300000000118</v>
      </c>
    </row>
    <row r="7" spans="1:3" x14ac:dyDescent="0.3">
      <c r="A7" s="7" t="s">
        <v>43</v>
      </c>
      <c r="B7" s="14">
        <v>7402.6219999999994</v>
      </c>
      <c r="C7" s="14">
        <v>1059.9216999999999</v>
      </c>
    </row>
    <row r="8" spans="1:3" x14ac:dyDescent="0.3">
      <c r="A8" s="7" t="s">
        <v>444</v>
      </c>
      <c r="B8" s="14">
        <v>21439.907699999996</v>
      </c>
      <c r="C8" s="14">
        <v>-124.50910000000044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1323-57C1-48E1-B333-95BBCF347411}">
  <dimension ref="A3:C7"/>
  <sheetViews>
    <sheetView showGridLines="0" workbookViewId="0">
      <selection activeCell="H11" sqref="H11"/>
    </sheetView>
  </sheetViews>
  <sheetFormatPr defaultRowHeight="14.4" x14ac:dyDescent="0.3"/>
  <cols>
    <col min="1" max="1" width="12.5546875" bestFit="1" customWidth="1"/>
    <col min="2" max="2" width="11.6640625" bestFit="1" customWidth="1"/>
    <col min="3" max="3" width="12.109375" bestFit="1" customWidth="1"/>
  </cols>
  <sheetData>
    <row r="3" spans="1:3" x14ac:dyDescent="0.3">
      <c r="A3" s="6" t="s">
        <v>443</v>
      </c>
      <c r="B3" t="s">
        <v>449</v>
      </c>
      <c r="C3" t="s">
        <v>450</v>
      </c>
    </row>
    <row r="4" spans="1:3" x14ac:dyDescent="0.3">
      <c r="A4" s="7" t="s">
        <v>25</v>
      </c>
      <c r="B4" s="14">
        <v>14670.74349999999</v>
      </c>
      <c r="C4" s="14">
        <v>-711.23400000000026</v>
      </c>
    </row>
    <row r="5" spans="1:3" x14ac:dyDescent="0.3">
      <c r="A5" s="7" t="s">
        <v>40</v>
      </c>
      <c r="B5" s="14">
        <v>4735.3140000000003</v>
      </c>
      <c r="C5" s="14">
        <v>702.96969999999999</v>
      </c>
    </row>
    <row r="6" spans="1:3" x14ac:dyDescent="0.3">
      <c r="A6" s="7" t="s">
        <v>101</v>
      </c>
      <c r="B6" s="14">
        <v>2033.8501999999999</v>
      </c>
      <c r="C6" s="14">
        <v>-116.24480000000008</v>
      </c>
    </row>
    <row r="7" spans="1:3" x14ac:dyDescent="0.3">
      <c r="A7" s="7" t="s">
        <v>444</v>
      </c>
      <c r="B7" s="14">
        <v>21439.907699999989</v>
      </c>
      <c r="C7" s="14">
        <v>-124.50910000000036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A41EA-9F80-40D5-8F99-535177C4EBA6}">
  <dimension ref="A1"/>
  <sheetViews>
    <sheetView showGridLines="0" workbookViewId="0">
      <selection activeCell="F24" sqref="F24"/>
    </sheetView>
  </sheetViews>
  <sheetFormatPr defaultRowHeight="14.4" x14ac:dyDescent="0.3"/>
  <cols>
    <col min="1" max="16384" width="8.88671875" style="18"/>
  </cols>
  <sheetData>
    <row r="1"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8AB44-93D2-4E29-AF5A-419DBF149650}">
  <dimension ref="A1:P58"/>
  <sheetViews>
    <sheetView showGridLines="0" zoomScale="78" workbookViewId="0">
      <selection activeCell="N5" sqref="N5:P58"/>
    </sheetView>
  </sheetViews>
  <sheetFormatPr defaultRowHeight="14.4" x14ac:dyDescent="0.3"/>
  <cols>
    <col min="1" max="1" width="19.109375" bestFit="1" customWidth="1"/>
    <col min="2" max="2" width="16.109375"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5546875" bestFit="1" customWidth="1"/>
    <col min="9" max="9" width="12.109375" bestFit="1" customWidth="1"/>
    <col min="10" max="10" width="14.88671875" bestFit="1" customWidth="1"/>
    <col min="11" max="11" width="20.88671875" bestFit="1" customWidth="1"/>
    <col min="12" max="12" width="21.44140625" bestFit="1" customWidth="1"/>
    <col min="13" max="13" width="24.21875" bestFit="1" customWidth="1"/>
    <col min="14" max="14" width="16.77734375" hidden="1" customWidth="1"/>
    <col min="15" max="15" width="17.5546875" hidden="1" customWidth="1"/>
    <col min="16" max="16" width="20.3320312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1" spans="1:16" x14ac:dyDescent="0.3">
      <c r="A1" s="6" t="s">
        <v>2</v>
      </c>
      <c r="B1" t="s">
        <v>466</v>
      </c>
    </row>
    <row r="2" spans="1:16" x14ac:dyDescent="0.3">
      <c r="A2" s="6" t="s">
        <v>6</v>
      </c>
      <c r="B2" t="s">
        <v>466</v>
      </c>
    </row>
    <row r="3" spans="1:16" x14ac:dyDescent="0.3">
      <c r="A3" s="6" t="s">
        <v>3</v>
      </c>
      <c r="B3" t="s">
        <v>466</v>
      </c>
    </row>
    <row r="5" spans="1:16" x14ac:dyDescent="0.3">
      <c r="B5" s="6" t="s">
        <v>452</v>
      </c>
    </row>
    <row r="6" spans="1:16" x14ac:dyDescent="0.3">
      <c r="B6" t="s">
        <v>25</v>
      </c>
      <c r="K6" t="s">
        <v>453</v>
      </c>
      <c r="L6" t="s">
        <v>454</v>
      </c>
      <c r="M6" t="s">
        <v>461</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B9" s="9"/>
      <c r="C9" s="9"/>
      <c r="D9" s="9"/>
      <c r="E9" s="9">
        <v>349.57000000000005</v>
      </c>
      <c r="F9" s="9">
        <v>41.672999999999988</v>
      </c>
      <c r="G9" s="9">
        <v>19</v>
      </c>
      <c r="H9" s="9">
        <v>901.57999999999993</v>
      </c>
      <c r="I9" s="9">
        <v>96.423899999999975</v>
      </c>
      <c r="J9" s="9">
        <v>24</v>
      </c>
      <c r="K9" s="9">
        <v>1251.1500000000001</v>
      </c>
      <c r="L9" s="9">
        <v>138.09690000000001</v>
      </c>
      <c r="M9" s="9">
        <v>43</v>
      </c>
      <c r="N9" s="9">
        <v>1251.1500000000001</v>
      </c>
      <c r="O9" s="9">
        <v>138.09690000000001</v>
      </c>
      <c r="P9" s="9">
        <v>43</v>
      </c>
    </row>
    <row r="10" spans="1:16" x14ac:dyDescent="0.3">
      <c r="A10" s="8" t="s">
        <v>253</v>
      </c>
      <c r="B10" s="9"/>
      <c r="C10" s="9"/>
      <c r="D10" s="9"/>
      <c r="E10" s="9"/>
      <c r="F10" s="9"/>
      <c r="G10" s="9"/>
      <c r="H10" s="9">
        <v>209.54999999999998</v>
      </c>
      <c r="I10" s="9">
        <v>73.352899999999977</v>
      </c>
      <c r="J10" s="9">
        <v>15</v>
      </c>
      <c r="K10" s="9">
        <v>209.54999999999998</v>
      </c>
      <c r="L10" s="9">
        <v>73.352899999999977</v>
      </c>
      <c r="M10" s="9">
        <v>15</v>
      </c>
      <c r="N10" s="9">
        <v>209.54999999999998</v>
      </c>
      <c r="O10" s="9">
        <v>73.352899999999977</v>
      </c>
      <c r="P10" s="9">
        <v>15</v>
      </c>
    </row>
    <row r="11" spans="1:16" x14ac:dyDescent="0.3">
      <c r="A11" s="13" t="s">
        <v>31</v>
      </c>
      <c r="B11" s="9"/>
      <c r="C11" s="9"/>
      <c r="D11" s="9"/>
      <c r="E11" s="9"/>
      <c r="F11" s="9"/>
      <c r="G11" s="9"/>
      <c r="H11" s="9">
        <v>96.149999999999991</v>
      </c>
      <c r="I11" s="9">
        <v>20.054899999999989</v>
      </c>
      <c r="J11" s="9">
        <v>3</v>
      </c>
      <c r="K11" s="9">
        <v>96.149999999999991</v>
      </c>
      <c r="L11" s="9">
        <v>20.054899999999989</v>
      </c>
      <c r="M11" s="9">
        <v>3</v>
      </c>
      <c r="N11" s="9">
        <v>96.149999999999991</v>
      </c>
      <c r="O11" s="9">
        <v>20.054899999999989</v>
      </c>
      <c r="P11" s="9">
        <v>3</v>
      </c>
    </row>
    <row r="12" spans="1:16" x14ac:dyDescent="0.3">
      <c r="A12" s="13" t="s">
        <v>45</v>
      </c>
      <c r="B12" s="9"/>
      <c r="C12" s="9"/>
      <c r="D12" s="9"/>
      <c r="E12" s="9"/>
      <c r="F12" s="9"/>
      <c r="G12" s="9"/>
      <c r="H12" s="9">
        <v>113.39999999999999</v>
      </c>
      <c r="I12" s="9">
        <v>53.297999999999995</v>
      </c>
      <c r="J12" s="9">
        <v>12</v>
      </c>
      <c r="K12" s="9">
        <v>113.39999999999999</v>
      </c>
      <c r="L12" s="9">
        <v>53.297999999999995</v>
      </c>
      <c r="M12" s="9">
        <v>12</v>
      </c>
      <c r="N12" s="9">
        <v>113.39999999999999</v>
      </c>
      <c r="O12" s="9">
        <v>53.297999999999995</v>
      </c>
      <c r="P12" s="9">
        <v>12</v>
      </c>
    </row>
    <row r="13" spans="1:16" x14ac:dyDescent="0.3">
      <c r="A13" s="8" t="s">
        <v>237</v>
      </c>
      <c r="B13" s="9"/>
      <c r="C13" s="9"/>
      <c r="D13" s="9"/>
      <c r="E13" s="9">
        <v>231.01</v>
      </c>
      <c r="F13" s="9">
        <v>17.241399999999992</v>
      </c>
      <c r="G13" s="9">
        <v>7</v>
      </c>
      <c r="H13" s="9"/>
      <c r="I13" s="9"/>
      <c r="J13" s="9"/>
      <c r="K13" s="9">
        <v>231.01</v>
      </c>
      <c r="L13" s="9">
        <v>17.241399999999992</v>
      </c>
      <c r="M13" s="9">
        <v>7</v>
      </c>
      <c r="N13" s="9">
        <v>231.01</v>
      </c>
      <c r="O13" s="9">
        <v>17.241399999999992</v>
      </c>
      <c r="P13" s="9">
        <v>7</v>
      </c>
    </row>
    <row r="14" spans="1:16" x14ac:dyDescent="0.3">
      <c r="A14" s="13" t="s">
        <v>45</v>
      </c>
      <c r="B14" s="9"/>
      <c r="C14" s="9"/>
      <c r="D14" s="9"/>
      <c r="E14" s="9">
        <v>231.01</v>
      </c>
      <c r="F14" s="9">
        <v>17.241399999999992</v>
      </c>
      <c r="G14" s="9">
        <v>7</v>
      </c>
      <c r="H14" s="9"/>
      <c r="I14" s="9"/>
      <c r="J14" s="9"/>
      <c r="K14" s="9">
        <v>231.01</v>
      </c>
      <c r="L14" s="9">
        <v>17.241399999999992</v>
      </c>
      <c r="M14" s="9">
        <v>7</v>
      </c>
      <c r="N14" s="9">
        <v>231.01</v>
      </c>
      <c r="O14" s="9">
        <v>17.241399999999992</v>
      </c>
      <c r="P14" s="9">
        <v>7</v>
      </c>
    </row>
    <row r="15" spans="1:16" x14ac:dyDescent="0.3">
      <c r="A15" s="8" t="s">
        <v>228</v>
      </c>
      <c r="B15" s="9"/>
      <c r="C15" s="9"/>
      <c r="D15" s="9"/>
      <c r="E15" s="9">
        <v>99.26</v>
      </c>
      <c r="F15" s="9">
        <v>38.906599999999997</v>
      </c>
      <c r="G15" s="9">
        <v>7</v>
      </c>
      <c r="H15" s="9">
        <v>26.15</v>
      </c>
      <c r="I15" s="9">
        <v>9.7533999999999974</v>
      </c>
      <c r="J15" s="9">
        <v>3</v>
      </c>
      <c r="K15" s="9">
        <v>125.41</v>
      </c>
      <c r="L15" s="9">
        <v>48.66</v>
      </c>
      <c r="M15" s="9">
        <v>10</v>
      </c>
      <c r="N15" s="9">
        <v>125.41</v>
      </c>
      <c r="O15" s="9">
        <v>48.66</v>
      </c>
      <c r="P15" s="9">
        <v>10</v>
      </c>
    </row>
    <row r="16" spans="1:16" x14ac:dyDescent="0.3">
      <c r="A16" s="13" t="s">
        <v>31</v>
      </c>
      <c r="B16" s="9"/>
      <c r="C16" s="9"/>
      <c r="D16" s="9"/>
      <c r="E16" s="9">
        <v>53.34</v>
      </c>
      <c r="F16" s="9">
        <v>16.535399999999996</v>
      </c>
      <c r="G16" s="9">
        <v>3</v>
      </c>
      <c r="H16" s="9"/>
      <c r="I16" s="9"/>
      <c r="J16" s="9"/>
      <c r="K16" s="9">
        <v>53.34</v>
      </c>
      <c r="L16" s="9">
        <v>16.535399999999996</v>
      </c>
      <c r="M16" s="9">
        <v>3</v>
      </c>
      <c r="N16" s="9">
        <v>53.34</v>
      </c>
      <c r="O16" s="9">
        <v>16.535399999999996</v>
      </c>
      <c r="P16" s="9">
        <v>3</v>
      </c>
    </row>
    <row r="17" spans="1:16" x14ac:dyDescent="0.3">
      <c r="A17" s="13" t="s">
        <v>45</v>
      </c>
      <c r="B17" s="9"/>
      <c r="C17" s="9"/>
      <c r="D17" s="9"/>
      <c r="E17" s="9">
        <v>45.92</v>
      </c>
      <c r="F17" s="9">
        <v>22.371200000000002</v>
      </c>
      <c r="G17" s="9">
        <v>4</v>
      </c>
      <c r="H17" s="9">
        <v>6.16</v>
      </c>
      <c r="I17" s="9">
        <v>2.9567999999999999</v>
      </c>
      <c r="J17" s="9">
        <v>2</v>
      </c>
      <c r="K17" s="9">
        <v>52.08</v>
      </c>
      <c r="L17" s="9">
        <v>25.328000000000003</v>
      </c>
      <c r="M17" s="9">
        <v>6</v>
      </c>
      <c r="N17" s="9">
        <v>52.08</v>
      </c>
      <c r="O17" s="9">
        <v>25.328000000000003</v>
      </c>
      <c r="P17" s="9">
        <v>6</v>
      </c>
    </row>
    <row r="18" spans="1:16" x14ac:dyDescent="0.3">
      <c r="A18" s="13" t="s">
        <v>70</v>
      </c>
      <c r="B18" s="9"/>
      <c r="C18" s="9"/>
      <c r="D18" s="9"/>
      <c r="E18" s="9"/>
      <c r="F18" s="9"/>
      <c r="G18" s="9"/>
      <c r="H18" s="9">
        <v>19.989999999999998</v>
      </c>
      <c r="I18" s="9">
        <v>6.796599999999998</v>
      </c>
      <c r="J18" s="9">
        <v>1</v>
      </c>
      <c r="K18" s="9">
        <v>19.989999999999998</v>
      </c>
      <c r="L18" s="9">
        <v>6.796599999999998</v>
      </c>
      <c r="M18" s="9">
        <v>1</v>
      </c>
      <c r="N18" s="9">
        <v>19.989999999999998</v>
      </c>
      <c r="O18" s="9">
        <v>6.796599999999998</v>
      </c>
      <c r="P18" s="9">
        <v>1</v>
      </c>
    </row>
    <row r="19" spans="1:16" x14ac:dyDescent="0.3">
      <c r="A19" s="8" t="s">
        <v>103</v>
      </c>
      <c r="B19" s="9"/>
      <c r="C19" s="9"/>
      <c r="D19" s="9"/>
      <c r="E19" s="9">
        <v>19.3</v>
      </c>
      <c r="F19" s="9">
        <v>-14.475000000000001</v>
      </c>
      <c r="G19" s="9">
        <v>5</v>
      </c>
      <c r="H19" s="9"/>
      <c r="I19" s="9"/>
      <c r="J19" s="9"/>
      <c r="K19" s="9">
        <v>19.3</v>
      </c>
      <c r="L19" s="9">
        <v>-14.475000000000001</v>
      </c>
      <c r="M19" s="9">
        <v>5</v>
      </c>
      <c r="N19" s="9">
        <v>19.3</v>
      </c>
      <c r="O19" s="9">
        <v>-14.475000000000001</v>
      </c>
      <c r="P19" s="9">
        <v>5</v>
      </c>
    </row>
    <row r="20" spans="1:16" x14ac:dyDescent="0.3">
      <c r="A20" s="13" t="s">
        <v>31</v>
      </c>
      <c r="B20" s="9"/>
      <c r="C20" s="9"/>
      <c r="D20" s="9"/>
      <c r="E20" s="9">
        <v>19.3</v>
      </c>
      <c r="F20" s="9">
        <v>-14.475000000000001</v>
      </c>
      <c r="G20" s="9">
        <v>5</v>
      </c>
      <c r="H20" s="9"/>
      <c r="I20" s="9"/>
      <c r="J20" s="9"/>
      <c r="K20" s="9">
        <v>19.3</v>
      </c>
      <c r="L20" s="9">
        <v>-14.475000000000001</v>
      </c>
      <c r="M20" s="9">
        <v>5</v>
      </c>
      <c r="N20" s="9">
        <v>19.3</v>
      </c>
      <c r="O20" s="9">
        <v>-14.475000000000001</v>
      </c>
      <c r="P20" s="9">
        <v>5</v>
      </c>
    </row>
    <row r="21" spans="1:16" x14ac:dyDescent="0.3">
      <c r="A21" s="8" t="s">
        <v>113</v>
      </c>
      <c r="B21" s="9"/>
      <c r="C21" s="9"/>
      <c r="D21" s="9"/>
      <c r="E21" s="9"/>
      <c r="F21" s="9"/>
      <c r="G21" s="9"/>
      <c r="H21" s="9">
        <v>665.88</v>
      </c>
      <c r="I21" s="9">
        <v>13.317599999999999</v>
      </c>
      <c r="J21" s="9">
        <v>6</v>
      </c>
      <c r="K21" s="9">
        <v>665.88</v>
      </c>
      <c r="L21" s="9">
        <v>13.317599999999999</v>
      </c>
      <c r="M21" s="9">
        <v>6</v>
      </c>
      <c r="N21" s="9">
        <v>665.88</v>
      </c>
      <c r="O21" s="9">
        <v>13.317599999999999</v>
      </c>
      <c r="P21" s="9">
        <v>6</v>
      </c>
    </row>
    <row r="22" spans="1:16" x14ac:dyDescent="0.3">
      <c r="A22" s="13" t="s">
        <v>45</v>
      </c>
      <c r="B22" s="9"/>
      <c r="C22" s="9"/>
      <c r="D22" s="9"/>
      <c r="E22" s="9"/>
      <c r="F22" s="9"/>
      <c r="G22" s="9"/>
      <c r="H22" s="9">
        <v>665.88</v>
      </c>
      <c r="I22" s="9">
        <v>13.317599999999999</v>
      </c>
      <c r="J22" s="9">
        <v>6</v>
      </c>
      <c r="K22" s="9">
        <v>665.88</v>
      </c>
      <c r="L22" s="9">
        <v>13.317599999999999</v>
      </c>
      <c r="M22" s="9">
        <v>6</v>
      </c>
      <c r="N22" s="9">
        <v>665.88</v>
      </c>
      <c r="O22" s="9">
        <v>13.317599999999999</v>
      </c>
      <c r="P22" s="9">
        <v>6</v>
      </c>
    </row>
    <row r="23" spans="1:16" x14ac:dyDescent="0.3">
      <c r="A23" s="7" t="s">
        <v>147</v>
      </c>
      <c r="B23" s="9">
        <v>655.09</v>
      </c>
      <c r="C23" s="9">
        <v>102.28079999999999</v>
      </c>
      <c r="D23" s="9">
        <v>25</v>
      </c>
      <c r="E23" s="9">
        <v>71.371999999999986</v>
      </c>
      <c r="F23" s="9">
        <v>-1.0196000000000005</v>
      </c>
      <c r="G23" s="9">
        <v>2</v>
      </c>
      <c r="H23" s="9">
        <v>3400.8500000000004</v>
      </c>
      <c r="I23" s="9">
        <v>-1635.1535999999999</v>
      </c>
      <c r="J23" s="9">
        <v>34</v>
      </c>
      <c r="K23" s="9">
        <v>4127.3119999999999</v>
      </c>
      <c r="L23" s="9">
        <v>-1533.8924</v>
      </c>
      <c r="M23" s="9">
        <v>61</v>
      </c>
      <c r="N23" s="9">
        <v>4127.3119999999999</v>
      </c>
      <c r="O23" s="9">
        <v>-1533.8924</v>
      </c>
      <c r="P23" s="9">
        <v>61</v>
      </c>
    </row>
    <row r="24" spans="1:16" x14ac:dyDescent="0.3">
      <c r="A24" s="8" t="s">
        <v>244</v>
      </c>
      <c r="B24" s="9"/>
      <c r="C24" s="9"/>
      <c r="D24" s="9"/>
      <c r="E24" s="9"/>
      <c r="F24" s="9"/>
      <c r="G24" s="9"/>
      <c r="H24" s="9">
        <v>66.8</v>
      </c>
      <c r="I24" s="9">
        <v>11.054000000000002</v>
      </c>
      <c r="J24" s="9">
        <v>5</v>
      </c>
      <c r="K24" s="9">
        <v>66.8</v>
      </c>
      <c r="L24" s="9">
        <v>11.054000000000002</v>
      </c>
      <c r="M24" s="9">
        <v>5</v>
      </c>
      <c r="N24" s="9">
        <v>66.8</v>
      </c>
      <c r="O24" s="9">
        <v>11.054000000000002</v>
      </c>
      <c r="P24" s="9">
        <v>5</v>
      </c>
    </row>
    <row r="25" spans="1:16" x14ac:dyDescent="0.3">
      <c r="A25" s="13" t="s">
        <v>70</v>
      </c>
      <c r="B25" s="9"/>
      <c r="C25" s="9"/>
      <c r="D25" s="9"/>
      <c r="E25" s="9"/>
      <c r="F25" s="9"/>
      <c r="G25" s="9"/>
      <c r="H25" s="9">
        <v>66.8</v>
      </c>
      <c r="I25" s="9">
        <v>11.054000000000002</v>
      </c>
      <c r="J25" s="9">
        <v>5</v>
      </c>
      <c r="K25" s="9">
        <v>66.8</v>
      </c>
      <c r="L25" s="9">
        <v>11.054000000000002</v>
      </c>
      <c r="M25" s="9">
        <v>5</v>
      </c>
      <c r="N25" s="9">
        <v>66.8</v>
      </c>
      <c r="O25" s="9">
        <v>11.054000000000002</v>
      </c>
      <c r="P25" s="9">
        <v>5</v>
      </c>
    </row>
    <row r="26" spans="1:16" x14ac:dyDescent="0.3">
      <c r="A26" s="8" t="s">
        <v>266</v>
      </c>
      <c r="B26" s="9">
        <v>655.09</v>
      </c>
      <c r="C26" s="9">
        <v>102.28079999999999</v>
      </c>
      <c r="D26" s="9">
        <v>25</v>
      </c>
      <c r="E26" s="9"/>
      <c r="F26" s="9"/>
      <c r="G26" s="9"/>
      <c r="H26" s="9">
        <v>4.6159999999999997</v>
      </c>
      <c r="I26" s="9">
        <v>1.7309999999999999</v>
      </c>
      <c r="J26" s="9">
        <v>1</v>
      </c>
      <c r="K26" s="9">
        <v>659.70600000000002</v>
      </c>
      <c r="L26" s="9">
        <v>104.01179999999998</v>
      </c>
      <c r="M26" s="9">
        <v>26</v>
      </c>
      <c r="N26" s="9">
        <v>659.70600000000002</v>
      </c>
      <c r="O26" s="9">
        <v>104.01179999999998</v>
      </c>
      <c r="P26" s="9">
        <v>26</v>
      </c>
    </row>
    <row r="27" spans="1:16" x14ac:dyDescent="0.3">
      <c r="A27" s="13" t="s">
        <v>31</v>
      </c>
      <c r="B27" s="9">
        <v>319.41000000000003</v>
      </c>
      <c r="C27" s="9">
        <v>7.0980000000000061</v>
      </c>
      <c r="D27" s="9">
        <v>5</v>
      </c>
      <c r="E27" s="9"/>
      <c r="F27" s="9"/>
      <c r="G27" s="9"/>
      <c r="H27" s="9"/>
      <c r="I27" s="9"/>
      <c r="J27" s="9"/>
      <c r="K27" s="9">
        <v>319.41000000000003</v>
      </c>
      <c r="L27" s="9">
        <v>7.0980000000000061</v>
      </c>
      <c r="M27" s="9">
        <v>5</v>
      </c>
      <c r="N27" s="9">
        <v>319.41000000000003</v>
      </c>
      <c r="O27" s="9">
        <v>7.0980000000000061</v>
      </c>
      <c r="P27" s="9">
        <v>5</v>
      </c>
    </row>
    <row r="28" spans="1:16" x14ac:dyDescent="0.3">
      <c r="A28" s="13" t="s">
        <v>45</v>
      </c>
      <c r="B28" s="9">
        <v>305.68</v>
      </c>
      <c r="C28" s="9">
        <v>91.882799999999989</v>
      </c>
      <c r="D28" s="9">
        <v>18</v>
      </c>
      <c r="E28" s="9"/>
      <c r="F28" s="9"/>
      <c r="G28" s="9"/>
      <c r="H28" s="9">
        <v>4.6159999999999997</v>
      </c>
      <c r="I28" s="9">
        <v>1.7309999999999999</v>
      </c>
      <c r="J28" s="9">
        <v>1</v>
      </c>
      <c r="K28" s="9">
        <v>310.29599999999999</v>
      </c>
      <c r="L28" s="9">
        <v>93.613799999999983</v>
      </c>
      <c r="M28" s="9">
        <v>19</v>
      </c>
      <c r="N28" s="9">
        <v>310.29599999999999</v>
      </c>
      <c r="O28" s="9">
        <v>93.613799999999983</v>
      </c>
      <c r="P28" s="9">
        <v>19</v>
      </c>
    </row>
    <row r="29" spans="1:16" x14ac:dyDescent="0.3">
      <c r="A29" s="13" t="s">
        <v>70</v>
      </c>
      <c r="B29" s="9">
        <v>30</v>
      </c>
      <c r="C29" s="9">
        <v>3.3000000000000007</v>
      </c>
      <c r="D29" s="9">
        <v>2</v>
      </c>
      <c r="E29" s="9"/>
      <c r="F29" s="9"/>
      <c r="G29" s="9"/>
      <c r="H29" s="9"/>
      <c r="I29" s="9"/>
      <c r="J29" s="9"/>
      <c r="K29" s="9">
        <v>30</v>
      </c>
      <c r="L29" s="9">
        <v>3.3000000000000007</v>
      </c>
      <c r="M29" s="9">
        <v>2</v>
      </c>
      <c r="N29" s="9">
        <v>30</v>
      </c>
      <c r="O29" s="9">
        <v>3.3000000000000007</v>
      </c>
      <c r="P29" s="9">
        <v>2</v>
      </c>
    </row>
    <row r="30" spans="1:16" x14ac:dyDescent="0.3">
      <c r="A30" s="8" t="s">
        <v>146</v>
      </c>
      <c r="B30" s="9"/>
      <c r="C30" s="9"/>
      <c r="D30" s="9"/>
      <c r="E30" s="9">
        <v>71.371999999999986</v>
      </c>
      <c r="F30" s="9">
        <v>-1.0196000000000005</v>
      </c>
      <c r="G30" s="9">
        <v>2</v>
      </c>
      <c r="H30" s="9">
        <v>3329.4340000000002</v>
      </c>
      <c r="I30" s="9">
        <v>-1647.9386</v>
      </c>
      <c r="J30" s="9">
        <v>28</v>
      </c>
      <c r="K30" s="9">
        <v>3400.806</v>
      </c>
      <c r="L30" s="9">
        <v>-1648.9582</v>
      </c>
      <c r="M30" s="9">
        <v>30</v>
      </c>
      <c r="N30" s="9">
        <v>3400.806</v>
      </c>
      <c r="O30" s="9">
        <v>-1648.9582</v>
      </c>
      <c r="P30" s="9">
        <v>30</v>
      </c>
    </row>
    <row r="31" spans="1:16" x14ac:dyDescent="0.3">
      <c r="A31" s="13" t="s">
        <v>31</v>
      </c>
      <c r="B31" s="9"/>
      <c r="C31" s="9"/>
      <c r="D31" s="9"/>
      <c r="E31" s="9">
        <v>71.371999999999986</v>
      </c>
      <c r="F31" s="9">
        <v>-1.0196000000000005</v>
      </c>
      <c r="G31" s="9">
        <v>2</v>
      </c>
      <c r="H31" s="9">
        <v>3207.63</v>
      </c>
      <c r="I31" s="9">
        <v>-1649.5272</v>
      </c>
      <c r="J31" s="9">
        <v>10</v>
      </c>
      <c r="K31" s="9">
        <v>3279.002</v>
      </c>
      <c r="L31" s="9">
        <v>-1650.5468000000001</v>
      </c>
      <c r="M31" s="9">
        <v>12</v>
      </c>
      <c r="N31" s="9">
        <v>3279.002</v>
      </c>
      <c r="O31" s="9">
        <v>-1650.5468000000001</v>
      </c>
      <c r="P31" s="9">
        <v>12</v>
      </c>
    </row>
    <row r="32" spans="1:16" x14ac:dyDescent="0.3">
      <c r="A32" s="13" t="s">
        <v>45</v>
      </c>
      <c r="B32" s="9"/>
      <c r="C32" s="9"/>
      <c r="D32" s="9"/>
      <c r="E32" s="9"/>
      <c r="F32" s="9"/>
      <c r="G32" s="9"/>
      <c r="H32" s="9">
        <v>121.80400000000002</v>
      </c>
      <c r="I32" s="9">
        <v>1.5885999999999885</v>
      </c>
      <c r="J32" s="9">
        <v>18</v>
      </c>
      <c r="K32" s="9">
        <v>121.80400000000002</v>
      </c>
      <c r="L32" s="9">
        <v>1.5885999999999885</v>
      </c>
      <c r="M32" s="9">
        <v>18</v>
      </c>
      <c r="N32" s="9">
        <v>121.80400000000002</v>
      </c>
      <c r="O32" s="9">
        <v>1.5885999999999885</v>
      </c>
      <c r="P32" s="9">
        <v>18</v>
      </c>
    </row>
    <row r="33" spans="1:16" x14ac:dyDescent="0.3">
      <c r="A33" s="7" t="s">
        <v>29</v>
      </c>
      <c r="B33" s="9">
        <v>75.88</v>
      </c>
      <c r="C33" s="9">
        <v>35.663599999999995</v>
      </c>
      <c r="D33" s="9">
        <v>2</v>
      </c>
      <c r="E33" s="9">
        <v>1295.8599999999999</v>
      </c>
      <c r="F33" s="9">
        <v>294.71119999999996</v>
      </c>
      <c r="G33" s="9">
        <v>7</v>
      </c>
      <c r="H33" s="9">
        <v>1997.2575000000002</v>
      </c>
      <c r="I33" s="9">
        <v>-506.44560000000013</v>
      </c>
      <c r="J33" s="9">
        <v>21</v>
      </c>
      <c r="K33" s="9">
        <v>3368.9974999999999</v>
      </c>
      <c r="L33" s="9">
        <v>-176.07080000000013</v>
      </c>
      <c r="M33" s="9">
        <v>30</v>
      </c>
      <c r="N33" s="9">
        <v>3368.9974999999999</v>
      </c>
      <c r="O33" s="9">
        <v>-176.07080000000013</v>
      </c>
      <c r="P33" s="9">
        <v>30</v>
      </c>
    </row>
    <row r="34" spans="1:16" x14ac:dyDescent="0.3">
      <c r="A34" s="8" t="s">
        <v>53</v>
      </c>
      <c r="B34" s="9"/>
      <c r="C34" s="9"/>
      <c r="D34" s="9"/>
      <c r="E34" s="9"/>
      <c r="F34" s="9"/>
      <c r="G34" s="9"/>
      <c r="H34" s="9">
        <v>979.94550000000004</v>
      </c>
      <c r="I34" s="9">
        <v>-380.51460000000009</v>
      </c>
      <c r="J34" s="9">
        <v>7</v>
      </c>
      <c r="K34" s="9">
        <v>979.94550000000004</v>
      </c>
      <c r="L34" s="9">
        <v>-380.51460000000009</v>
      </c>
      <c r="M34" s="9">
        <v>7</v>
      </c>
      <c r="N34" s="9">
        <v>979.94550000000004</v>
      </c>
      <c r="O34" s="9">
        <v>-380.51460000000009</v>
      </c>
      <c r="P34" s="9">
        <v>7</v>
      </c>
    </row>
    <row r="35" spans="1:16" x14ac:dyDescent="0.3">
      <c r="A35" s="13" t="s">
        <v>31</v>
      </c>
      <c r="B35" s="9"/>
      <c r="C35" s="9"/>
      <c r="D35" s="9"/>
      <c r="E35" s="9"/>
      <c r="F35" s="9"/>
      <c r="G35" s="9"/>
      <c r="H35" s="9">
        <v>957.57749999999999</v>
      </c>
      <c r="I35" s="9">
        <v>-383.03100000000006</v>
      </c>
      <c r="J35" s="9">
        <v>5</v>
      </c>
      <c r="K35" s="9">
        <v>957.57749999999999</v>
      </c>
      <c r="L35" s="9">
        <v>-383.03100000000006</v>
      </c>
      <c r="M35" s="9">
        <v>5</v>
      </c>
      <c r="N35" s="9">
        <v>957.57749999999999</v>
      </c>
      <c r="O35" s="9">
        <v>-383.03100000000006</v>
      </c>
      <c r="P35" s="9">
        <v>5</v>
      </c>
    </row>
    <row r="36" spans="1:16" x14ac:dyDescent="0.3">
      <c r="A36" s="13" t="s">
        <v>45</v>
      </c>
      <c r="B36" s="9"/>
      <c r="C36" s="9"/>
      <c r="D36" s="9"/>
      <c r="E36" s="9"/>
      <c r="F36" s="9"/>
      <c r="G36" s="9"/>
      <c r="H36" s="9">
        <v>22.368000000000002</v>
      </c>
      <c r="I36" s="9">
        <v>2.5163999999999991</v>
      </c>
      <c r="J36" s="9">
        <v>2</v>
      </c>
      <c r="K36" s="9">
        <v>22.368000000000002</v>
      </c>
      <c r="L36" s="9">
        <v>2.5163999999999991</v>
      </c>
      <c r="M36" s="9">
        <v>2</v>
      </c>
      <c r="N36" s="9">
        <v>22.368000000000002</v>
      </c>
      <c r="O36" s="9">
        <v>2.5163999999999991</v>
      </c>
      <c r="P36" s="9">
        <v>2</v>
      </c>
    </row>
    <row r="37" spans="1:16" x14ac:dyDescent="0.3">
      <c r="A37" s="8" t="s">
        <v>28</v>
      </c>
      <c r="B37" s="9"/>
      <c r="C37" s="9"/>
      <c r="D37" s="9"/>
      <c r="E37" s="9">
        <v>993.89999999999986</v>
      </c>
      <c r="F37" s="9">
        <v>261.49559999999997</v>
      </c>
      <c r="G37" s="9">
        <v>5</v>
      </c>
      <c r="H37" s="9"/>
      <c r="I37" s="9"/>
      <c r="J37" s="9"/>
      <c r="K37" s="9">
        <v>993.89999999999986</v>
      </c>
      <c r="L37" s="9">
        <v>261.49559999999997</v>
      </c>
      <c r="M37" s="9">
        <v>5</v>
      </c>
      <c r="N37" s="9">
        <v>993.89999999999986</v>
      </c>
      <c r="O37" s="9">
        <v>261.49559999999997</v>
      </c>
      <c r="P37" s="9">
        <v>5</v>
      </c>
    </row>
    <row r="38" spans="1:16" x14ac:dyDescent="0.3">
      <c r="A38" s="13" t="s">
        <v>31</v>
      </c>
      <c r="B38" s="9"/>
      <c r="C38" s="9"/>
      <c r="D38" s="9"/>
      <c r="E38" s="9">
        <v>993.89999999999986</v>
      </c>
      <c r="F38" s="9">
        <v>261.49559999999997</v>
      </c>
      <c r="G38" s="9">
        <v>5</v>
      </c>
      <c r="H38" s="9"/>
      <c r="I38" s="9"/>
      <c r="J38" s="9"/>
      <c r="K38" s="9">
        <v>993.89999999999986</v>
      </c>
      <c r="L38" s="9">
        <v>261.49559999999997</v>
      </c>
      <c r="M38" s="9">
        <v>5</v>
      </c>
      <c r="N38" s="9">
        <v>993.89999999999986</v>
      </c>
      <c r="O38" s="9">
        <v>261.49559999999997</v>
      </c>
      <c r="P38" s="9">
        <v>5</v>
      </c>
    </row>
    <row r="39" spans="1:16" x14ac:dyDescent="0.3">
      <c r="A39" s="8" t="s">
        <v>87</v>
      </c>
      <c r="B39" s="9"/>
      <c r="C39" s="9"/>
      <c r="D39" s="9"/>
      <c r="E39" s="9"/>
      <c r="F39" s="9"/>
      <c r="G39" s="9"/>
      <c r="H39" s="9">
        <v>15.552000000000003</v>
      </c>
      <c r="I39" s="9">
        <v>5.4432</v>
      </c>
      <c r="J39" s="9">
        <v>3</v>
      </c>
      <c r="K39" s="9">
        <v>15.552000000000003</v>
      </c>
      <c r="L39" s="9">
        <v>5.4432</v>
      </c>
      <c r="M39" s="9">
        <v>3</v>
      </c>
      <c r="N39" s="9">
        <v>15.552000000000003</v>
      </c>
      <c r="O39" s="9">
        <v>5.4432</v>
      </c>
      <c r="P39" s="9">
        <v>3</v>
      </c>
    </row>
    <row r="40" spans="1:16" x14ac:dyDescent="0.3">
      <c r="A40" s="13" t="s">
        <v>45</v>
      </c>
      <c r="B40" s="9"/>
      <c r="C40" s="9"/>
      <c r="D40" s="9"/>
      <c r="E40" s="9"/>
      <c r="F40" s="9"/>
      <c r="G40" s="9"/>
      <c r="H40" s="9">
        <v>15.552000000000003</v>
      </c>
      <c r="I40" s="9">
        <v>5.4432</v>
      </c>
      <c r="J40" s="9">
        <v>3</v>
      </c>
      <c r="K40" s="9">
        <v>15.552000000000003</v>
      </c>
      <c r="L40" s="9">
        <v>5.4432</v>
      </c>
      <c r="M40" s="9">
        <v>3</v>
      </c>
      <c r="N40" s="9">
        <v>15.552000000000003</v>
      </c>
      <c r="O40" s="9">
        <v>5.4432</v>
      </c>
      <c r="P40" s="9">
        <v>3</v>
      </c>
    </row>
    <row r="41" spans="1:16" x14ac:dyDescent="0.3">
      <c r="A41" s="8" t="s">
        <v>382</v>
      </c>
      <c r="B41" s="9"/>
      <c r="C41" s="9"/>
      <c r="D41" s="9"/>
      <c r="E41" s="9">
        <v>301.95999999999998</v>
      </c>
      <c r="F41" s="9">
        <v>33.215599999999995</v>
      </c>
      <c r="G41" s="9">
        <v>2</v>
      </c>
      <c r="H41" s="9"/>
      <c r="I41" s="9"/>
      <c r="J41" s="9"/>
      <c r="K41" s="9">
        <v>301.95999999999998</v>
      </c>
      <c r="L41" s="9">
        <v>33.215599999999995</v>
      </c>
      <c r="M41" s="9">
        <v>2</v>
      </c>
      <c r="N41" s="9">
        <v>301.95999999999998</v>
      </c>
      <c r="O41" s="9">
        <v>33.215599999999995</v>
      </c>
      <c r="P41" s="9">
        <v>2</v>
      </c>
    </row>
    <row r="42" spans="1:16" x14ac:dyDescent="0.3">
      <c r="A42" s="13" t="s">
        <v>31</v>
      </c>
      <c r="B42" s="9"/>
      <c r="C42" s="9"/>
      <c r="D42" s="9"/>
      <c r="E42" s="9">
        <v>301.95999999999998</v>
      </c>
      <c r="F42" s="9">
        <v>33.215599999999995</v>
      </c>
      <c r="G42" s="9">
        <v>2</v>
      </c>
      <c r="H42" s="9"/>
      <c r="I42" s="9"/>
      <c r="J42" s="9"/>
      <c r="K42" s="9">
        <v>301.95999999999998</v>
      </c>
      <c r="L42" s="9">
        <v>33.215599999999995</v>
      </c>
      <c r="M42" s="9">
        <v>2</v>
      </c>
      <c r="N42" s="9">
        <v>301.95999999999998</v>
      </c>
      <c r="O42" s="9">
        <v>33.215599999999995</v>
      </c>
      <c r="P42" s="9">
        <v>2</v>
      </c>
    </row>
    <row r="43" spans="1:16" x14ac:dyDescent="0.3">
      <c r="A43" s="8" t="s">
        <v>334</v>
      </c>
      <c r="B43" s="9"/>
      <c r="C43" s="9"/>
      <c r="D43" s="9"/>
      <c r="E43" s="9"/>
      <c r="F43" s="9"/>
      <c r="G43" s="9"/>
      <c r="H43" s="9">
        <v>1001.7600000000001</v>
      </c>
      <c r="I43" s="9">
        <v>-131.37420000000003</v>
      </c>
      <c r="J43" s="9">
        <v>11</v>
      </c>
      <c r="K43" s="9">
        <v>1001.7600000000001</v>
      </c>
      <c r="L43" s="9">
        <v>-131.37420000000003</v>
      </c>
      <c r="M43" s="9">
        <v>11</v>
      </c>
      <c r="N43" s="9">
        <v>1001.7600000000001</v>
      </c>
      <c r="O43" s="9">
        <v>-131.37420000000003</v>
      </c>
      <c r="P43" s="9">
        <v>11</v>
      </c>
    </row>
    <row r="44" spans="1:16" x14ac:dyDescent="0.3">
      <c r="A44" s="13" t="s">
        <v>31</v>
      </c>
      <c r="B44" s="9"/>
      <c r="C44" s="9"/>
      <c r="D44" s="9"/>
      <c r="E44" s="9"/>
      <c r="F44" s="9"/>
      <c r="G44" s="9"/>
      <c r="H44" s="9">
        <v>928.97600000000011</v>
      </c>
      <c r="I44" s="9">
        <v>-113.17820000000003</v>
      </c>
      <c r="J44" s="9">
        <v>10</v>
      </c>
      <c r="K44" s="9">
        <v>928.97600000000011</v>
      </c>
      <c r="L44" s="9">
        <v>-113.17820000000003</v>
      </c>
      <c r="M44" s="9">
        <v>10</v>
      </c>
      <c r="N44" s="9">
        <v>928.97600000000011</v>
      </c>
      <c r="O44" s="9">
        <v>-113.17820000000003</v>
      </c>
      <c r="P44" s="9">
        <v>10</v>
      </c>
    </row>
    <row r="45" spans="1:16" x14ac:dyDescent="0.3">
      <c r="A45" s="13" t="s">
        <v>45</v>
      </c>
      <c r="B45" s="9"/>
      <c r="C45" s="9"/>
      <c r="D45" s="9"/>
      <c r="E45" s="9"/>
      <c r="F45" s="9"/>
      <c r="G45" s="9"/>
      <c r="H45" s="9">
        <v>72.784000000000006</v>
      </c>
      <c r="I45" s="9">
        <v>-18.196000000000002</v>
      </c>
      <c r="J45" s="9">
        <v>1</v>
      </c>
      <c r="K45" s="9">
        <v>72.784000000000006</v>
      </c>
      <c r="L45" s="9">
        <v>-18.196000000000002</v>
      </c>
      <c r="M45" s="9">
        <v>1</v>
      </c>
      <c r="N45" s="9">
        <v>72.784000000000006</v>
      </c>
      <c r="O45" s="9">
        <v>-18.196000000000002</v>
      </c>
      <c r="P45" s="9">
        <v>1</v>
      </c>
    </row>
    <row r="46" spans="1:16" x14ac:dyDescent="0.3">
      <c r="A46" s="8" t="s">
        <v>318</v>
      </c>
      <c r="B46" s="9">
        <v>75.88</v>
      </c>
      <c r="C46" s="9">
        <v>35.663599999999995</v>
      </c>
      <c r="D46" s="9">
        <v>2</v>
      </c>
      <c r="E46" s="9"/>
      <c r="F46" s="9"/>
      <c r="G46" s="9"/>
      <c r="H46" s="9"/>
      <c r="I46" s="9"/>
      <c r="J46" s="9"/>
      <c r="K46" s="9">
        <v>75.88</v>
      </c>
      <c r="L46" s="9">
        <v>35.663599999999995</v>
      </c>
      <c r="M46" s="9">
        <v>2</v>
      </c>
      <c r="N46" s="9">
        <v>75.88</v>
      </c>
      <c r="O46" s="9">
        <v>35.663599999999995</v>
      </c>
      <c r="P46" s="9">
        <v>2</v>
      </c>
    </row>
    <row r="47" spans="1:16" x14ac:dyDescent="0.3">
      <c r="A47" s="13" t="s">
        <v>45</v>
      </c>
      <c r="B47" s="9">
        <v>75.88</v>
      </c>
      <c r="C47" s="9">
        <v>35.663599999999995</v>
      </c>
      <c r="D47" s="9">
        <v>2</v>
      </c>
      <c r="E47" s="9"/>
      <c r="F47" s="9"/>
      <c r="G47" s="9"/>
      <c r="H47" s="9"/>
      <c r="I47" s="9"/>
      <c r="J47" s="9"/>
      <c r="K47" s="9">
        <v>75.88</v>
      </c>
      <c r="L47" s="9">
        <v>35.663599999999995</v>
      </c>
      <c r="M47" s="9">
        <v>2</v>
      </c>
      <c r="N47" s="9">
        <v>75.88</v>
      </c>
      <c r="O47" s="9">
        <v>35.663599999999995</v>
      </c>
      <c r="P47" s="9">
        <v>2</v>
      </c>
    </row>
    <row r="48" spans="1:16" x14ac:dyDescent="0.3">
      <c r="A48" s="7" t="s">
        <v>43</v>
      </c>
      <c r="B48" s="9">
        <v>51.311999999999998</v>
      </c>
      <c r="C48" s="9">
        <v>17.959199999999999</v>
      </c>
      <c r="D48" s="9">
        <v>3</v>
      </c>
      <c r="E48" s="9">
        <v>402.47800000000001</v>
      </c>
      <c r="F48" s="9">
        <v>51.86389999999998</v>
      </c>
      <c r="G48" s="9">
        <v>16</v>
      </c>
      <c r="H48" s="9">
        <v>5469.4939999999997</v>
      </c>
      <c r="I48" s="9">
        <v>790.80919999999981</v>
      </c>
      <c r="J48" s="9">
        <v>65</v>
      </c>
      <c r="K48" s="9">
        <v>5923.2839999999997</v>
      </c>
      <c r="L48" s="9">
        <v>860.63229999999976</v>
      </c>
      <c r="M48" s="9">
        <v>84</v>
      </c>
      <c r="N48" s="9">
        <v>5923.2839999999997</v>
      </c>
      <c r="O48" s="9">
        <v>860.63229999999976</v>
      </c>
      <c r="P48" s="9">
        <v>84</v>
      </c>
    </row>
    <row r="49" spans="1:16" x14ac:dyDescent="0.3">
      <c r="A49" s="8" t="s">
        <v>42</v>
      </c>
      <c r="B49" s="9">
        <v>51.311999999999998</v>
      </c>
      <c r="C49" s="9">
        <v>17.959199999999999</v>
      </c>
      <c r="D49" s="9">
        <v>3</v>
      </c>
      <c r="E49" s="9">
        <v>346.97800000000001</v>
      </c>
      <c r="F49" s="9">
        <v>41.873899999999985</v>
      </c>
      <c r="G49" s="9">
        <v>14</v>
      </c>
      <c r="H49" s="9">
        <v>4016.8880000000004</v>
      </c>
      <c r="I49" s="9">
        <v>417.95209999999986</v>
      </c>
      <c r="J49" s="9">
        <v>59</v>
      </c>
      <c r="K49" s="9">
        <v>4415.1779999999999</v>
      </c>
      <c r="L49" s="9">
        <v>477.7851999999998</v>
      </c>
      <c r="M49" s="9">
        <v>76</v>
      </c>
      <c r="N49" s="9">
        <v>4415.1779999999999</v>
      </c>
      <c r="O49" s="9">
        <v>477.7851999999998</v>
      </c>
      <c r="P49" s="9">
        <v>76</v>
      </c>
    </row>
    <row r="50" spans="1:16" x14ac:dyDescent="0.3">
      <c r="A50" s="13" t="s">
        <v>31</v>
      </c>
      <c r="B50" s="9"/>
      <c r="C50" s="9"/>
      <c r="D50" s="9"/>
      <c r="E50" s="9"/>
      <c r="F50" s="9"/>
      <c r="G50" s="9"/>
      <c r="H50" s="9">
        <v>1834.8040000000001</v>
      </c>
      <c r="I50" s="9">
        <v>121.81139999999981</v>
      </c>
      <c r="J50" s="9">
        <v>20</v>
      </c>
      <c r="K50" s="9">
        <v>1834.8040000000001</v>
      </c>
      <c r="L50" s="9">
        <v>121.81139999999981</v>
      </c>
      <c r="M50" s="9">
        <v>20</v>
      </c>
      <c r="N50" s="9">
        <v>1834.8040000000001</v>
      </c>
      <c r="O50" s="9">
        <v>121.81139999999981</v>
      </c>
      <c r="P50" s="9">
        <v>20</v>
      </c>
    </row>
    <row r="51" spans="1:16" x14ac:dyDescent="0.3">
      <c r="A51" s="13" t="s">
        <v>45</v>
      </c>
      <c r="B51" s="9">
        <v>51.311999999999998</v>
      </c>
      <c r="C51" s="9">
        <v>17.959199999999999</v>
      </c>
      <c r="D51" s="9">
        <v>3</v>
      </c>
      <c r="E51" s="9">
        <v>42.928000000000004</v>
      </c>
      <c r="F51" s="9">
        <v>14.088799999999999</v>
      </c>
      <c r="G51" s="9">
        <v>8</v>
      </c>
      <c r="H51" s="9">
        <v>349.52800000000002</v>
      </c>
      <c r="I51" s="9">
        <v>130.91749999999999</v>
      </c>
      <c r="J51" s="9">
        <v>27</v>
      </c>
      <c r="K51" s="9">
        <v>443.76800000000003</v>
      </c>
      <c r="L51" s="9">
        <v>162.96549999999999</v>
      </c>
      <c r="M51" s="9">
        <v>38</v>
      </c>
      <c r="N51" s="9">
        <v>443.76800000000003</v>
      </c>
      <c r="O51" s="9">
        <v>162.96549999999999</v>
      </c>
      <c r="P51" s="9">
        <v>38</v>
      </c>
    </row>
    <row r="52" spans="1:16" x14ac:dyDescent="0.3">
      <c r="A52" s="13" t="s">
        <v>70</v>
      </c>
      <c r="B52" s="9"/>
      <c r="C52" s="9"/>
      <c r="D52" s="9"/>
      <c r="E52" s="9">
        <v>304.05</v>
      </c>
      <c r="F52" s="9">
        <v>27.785099999999986</v>
      </c>
      <c r="G52" s="9">
        <v>6</v>
      </c>
      <c r="H52" s="9">
        <v>1832.556</v>
      </c>
      <c r="I52" s="9">
        <v>165.22320000000005</v>
      </c>
      <c r="J52" s="9">
        <v>12</v>
      </c>
      <c r="K52" s="9">
        <v>2136.6060000000002</v>
      </c>
      <c r="L52" s="9">
        <v>193.00830000000002</v>
      </c>
      <c r="M52" s="9">
        <v>18</v>
      </c>
      <c r="N52" s="9">
        <v>2136.6060000000002</v>
      </c>
      <c r="O52" s="9">
        <v>193.00830000000002</v>
      </c>
      <c r="P52" s="9">
        <v>18</v>
      </c>
    </row>
    <row r="53" spans="1:16" x14ac:dyDescent="0.3">
      <c r="A53" s="8" t="s">
        <v>120</v>
      </c>
      <c r="B53" s="9"/>
      <c r="C53" s="9"/>
      <c r="D53" s="9"/>
      <c r="E53" s="9">
        <v>55.5</v>
      </c>
      <c r="F53" s="9">
        <v>9.9899999999999949</v>
      </c>
      <c r="G53" s="9">
        <v>2</v>
      </c>
      <c r="H53" s="9">
        <v>1044.6299999999999</v>
      </c>
      <c r="I53" s="9">
        <v>240.26490000000001</v>
      </c>
      <c r="J53" s="9">
        <v>3</v>
      </c>
      <c r="K53" s="9">
        <v>1100.1299999999999</v>
      </c>
      <c r="L53" s="9">
        <v>250.25490000000002</v>
      </c>
      <c r="M53" s="9">
        <v>5</v>
      </c>
      <c r="N53" s="9">
        <v>1100.1299999999999</v>
      </c>
      <c r="O53" s="9">
        <v>250.25490000000002</v>
      </c>
      <c r="P53" s="9">
        <v>5</v>
      </c>
    </row>
    <row r="54" spans="1:16" x14ac:dyDescent="0.3">
      <c r="A54" s="13" t="s">
        <v>31</v>
      </c>
      <c r="B54" s="9"/>
      <c r="C54" s="9"/>
      <c r="D54" s="9"/>
      <c r="E54" s="9"/>
      <c r="F54" s="9"/>
      <c r="G54" s="9"/>
      <c r="H54" s="9">
        <v>1044.6299999999999</v>
      </c>
      <c r="I54" s="9">
        <v>240.26490000000001</v>
      </c>
      <c r="J54" s="9">
        <v>3</v>
      </c>
      <c r="K54" s="9">
        <v>1044.6299999999999</v>
      </c>
      <c r="L54" s="9">
        <v>240.26490000000001</v>
      </c>
      <c r="M54" s="9">
        <v>3</v>
      </c>
      <c r="N54" s="9">
        <v>1044.6299999999999</v>
      </c>
      <c r="O54" s="9">
        <v>240.26490000000001</v>
      </c>
      <c r="P54" s="9">
        <v>3</v>
      </c>
    </row>
    <row r="55" spans="1:16" x14ac:dyDescent="0.3">
      <c r="A55" s="13" t="s">
        <v>45</v>
      </c>
      <c r="B55" s="9"/>
      <c r="C55" s="9"/>
      <c r="D55" s="9"/>
      <c r="E55" s="9">
        <v>55.5</v>
      </c>
      <c r="F55" s="9">
        <v>9.9899999999999949</v>
      </c>
      <c r="G55" s="9">
        <v>2</v>
      </c>
      <c r="H55" s="9"/>
      <c r="I55" s="9"/>
      <c r="J55" s="9"/>
      <c r="K55" s="9">
        <v>55.5</v>
      </c>
      <c r="L55" s="9">
        <v>9.9899999999999949</v>
      </c>
      <c r="M55" s="9">
        <v>2</v>
      </c>
      <c r="N55" s="9">
        <v>55.5</v>
      </c>
      <c r="O55" s="9">
        <v>9.9899999999999949</v>
      </c>
      <c r="P55" s="9">
        <v>2</v>
      </c>
    </row>
    <row r="56" spans="1:16" x14ac:dyDescent="0.3">
      <c r="A56" s="8" t="s">
        <v>95</v>
      </c>
      <c r="B56" s="9"/>
      <c r="C56" s="9"/>
      <c r="D56" s="9"/>
      <c r="E56" s="9"/>
      <c r="F56" s="9"/>
      <c r="G56" s="9"/>
      <c r="H56" s="9">
        <v>407.97600000000006</v>
      </c>
      <c r="I56" s="9">
        <v>132.59219999999993</v>
      </c>
      <c r="J56" s="9">
        <v>3</v>
      </c>
      <c r="K56" s="9">
        <v>407.97600000000006</v>
      </c>
      <c r="L56" s="9">
        <v>132.59219999999993</v>
      </c>
      <c r="M56" s="9">
        <v>3</v>
      </c>
      <c r="N56" s="9">
        <v>407.97600000000006</v>
      </c>
      <c r="O56" s="9">
        <v>132.59219999999993</v>
      </c>
      <c r="P56" s="9">
        <v>3</v>
      </c>
    </row>
    <row r="57" spans="1:16" x14ac:dyDescent="0.3">
      <c r="A57" s="13" t="s">
        <v>45</v>
      </c>
      <c r="B57" s="9"/>
      <c r="C57" s="9"/>
      <c r="D57" s="9"/>
      <c r="E57" s="9"/>
      <c r="F57" s="9"/>
      <c r="G57" s="9"/>
      <c r="H57" s="9">
        <v>407.97600000000006</v>
      </c>
      <c r="I57" s="9">
        <v>132.59219999999993</v>
      </c>
      <c r="J57" s="9">
        <v>3</v>
      </c>
      <c r="K57" s="9">
        <v>407.97600000000006</v>
      </c>
      <c r="L57" s="9">
        <v>132.59219999999993</v>
      </c>
      <c r="M57" s="9">
        <v>3</v>
      </c>
      <c r="N57" s="9">
        <v>407.97600000000006</v>
      </c>
      <c r="O57" s="9">
        <v>132.59219999999993</v>
      </c>
      <c r="P57" s="9">
        <v>3</v>
      </c>
    </row>
    <row r="58" spans="1:16" x14ac:dyDescent="0.3">
      <c r="A58" s="7" t="s">
        <v>444</v>
      </c>
      <c r="B58" s="9">
        <v>782.28200000000004</v>
      </c>
      <c r="C58" s="9">
        <v>155.90359999999998</v>
      </c>
      <c r="D58" s="9">
        <v>30</v>
      </c>
      <c r="E58" s="9">
        <v>2119.2800000000002</v>
      </c>
      <c r="F58" s="9">
        <v>387.22849999999994</v>
      </c>
      <c r="G58" s="9">
        <v>44</v>
      </c>
      <c r="H58" s="9">
        <v>11769.181500000001</v>
      </c>
      <c r="I58" s="9">
        <v>-1254.3660999999997</v>
      </c>
      <c r="J58" s="9">
        <v>144</v>
      </c>
      <c r="K58" s="9">
        <v>14670.743499999999</v>
      </c>
      <c r="L58" s="9">
        <v>-711.23400000000038</v>
      </c>
      <c r="M58" s="9">
        <v>218</v>
      </c>
      <c r="N58" s="9">
        <v>14670.743499999999</v>
      </c>
      <c r="O58" s="9">
        <v>-711.23400000000038</v>
      </c>
      <c r="P58" s="9">
        <v>218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C2922-B323-4817-9183-3B3AB9C46F61}">
  <dimension ref="A2:P47"/>
  <sheetViews>
    <sheetView showGridLines="0" zoomScale="85" workbookViewId="0">
      <selection activeCell="R21" sqref="R21"/>
    </sheetView>
  </sheetViews>
  <sheetFormatPr defaultRowHeight="14.4" x14ac:dyDescent="0.3"/>
  <cols>
    <col min="1" max="1" width="17.33203125" bestFit="1" customWidth="1"/>
    <col min="2" max="2" width="15.77734375"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33203125" bestFit="1" customWidth="1"/>
    <col min="9" max="9" width="12.109375" bestFit="1" customWidth="1"/>
    <col min="10" max="10" width="14.88671875" bestFit="1" customWidth="1"/>
    <col min="11" max="11" width="20.77734375" bestFit="1" customWidth="1"/>
    <col min="12" max="12" width="21.33203125" bestFit="1" customWidth="1"/>
    <col min="13" max="13" width="24" bestFit="1" customWidth="1"/>
    <col min="14" max="14" width="16.77734375" hidden="1" customWidth="1"/>
    <col min="15" max="15" width="17" hidden="1" customWidth="1"/>
    <col min="16" max="16" width="19.7773437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2" spans="1:16" x14ac:dyDescent="0.3">
      <c r="A2" s="6" t="s">
        <v>6</v>
      </c>
      <c r="B2" t="s">
        <v>466</v>
      </c>
    </row>
    <row r="3" spans="1:16" x14ac:dyDescent="0.3">
      <c r="A3" s="6" t="s">
        <v>3</v>
      </c>
      <c r="B3" t="s">
        <v>466</v>
      </c>
    </row>
    <row r="5" spans="1:16" x14ac:dyDescent="0.3">
      <c r="B5" s="6" t="s">
        <v>452</v>
      </c>
    </row>
    <row r="6" spans="1:16" x14ac:dyDescent="0.3">
      <c r="B6" t="s">
        <v>40</v>
      </c>
      <c r="K6" t="s">
        <v>455</v>
      </c>
      <c r="L6" t="s">
        <v>456</v>
      </c>
      <c r="M6" t="s">
        <v>462</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B9" s="9">
        <v>1390.1000000000004</v>
      </c>
      <c r="C9" s="9">
        <v>-1.5469000000001287</v>
      </c>
      <c r="D9" s="9">
        <v>25</v>
      </c>
      <c r="E9" s="9"/>
      <c r="F9" s="9"/>
      <c r="G9" s="9"/>
      <c r="H9" s="9">
        <v>304.84800000000001</v>
      </c>
      <c r="I9" s="9">
        <v>59.889599999999987</v>
      </c>
      <c r="J9" s="9">
        <v>24</v>
      </c>
      <c r="K9" s="9">
        <v>1694.9480000000003</v>
      </c>
      <c r="L9" s="9">
        <v>58.342699999999851</v>
      </c>
      <c r="M9" s="9">
        <v>49</v>
      </c>
      <c r="N9" s="9">
        <v>1694.9480000000003</v>
      </c>
      <c r="O9" s="9">
        <v>58.342699999999851</v>
      </c>
      <c r="P9" s="9">
        <v>49</v>
      </c>
    </row>
    <row r="10" spans="1:16" x14ac:dyDescent="0.3">
      <c r="A10" s="8" t="s">
        <v>210</v>
      </c>
      <c r="B10" s="9"/>
      <c r="C10" s="9"/>
      <c r="D10" s="9"/>
      <c r="E10" s="9"/>
      <c r="F10" s="9"/>
      <c r="G10" s="9"/>
      <c r="H10" s="9">
        <v>147.16800000000001</v>
      </c>
      <c r="I10" s="9">
        <v>16.556399999999996</v>
      </c>
      <c r="J10" s="9">
        <v>4</v>
      </c>
      <c r="K10" s="9">
        <v>147.16800000000001</v>
      </c>
      <c r="L10" s="9">
        <v>16.556399999999996</v>
      </c>
      <c r="M10" s="9">
        <v>4</v>
      </c>
      <c r="N10" s="9">
        <v>147.16800000000001</v>
      </c>
      <c r="O10" s="9">
        <v>16.556399999999996</v>
      </c>
      <c r="P10" s="9">
        <v>4</v>
      </c>
    </row>
    <row r="11" spans="1:16" x14ac:dyDescent="0.3">
      <c r="A11" s="13" t="s">
        <v>448</v>
      </c>
      <c r="B11" s="9"/>
      <c r="C11" s="9"/>
      <c r="D11" s="9"/>
      <c r="E11" s="9"/>
      <c r="F11" s="9"/>
      <c r="G11" s="9"/>
      <c r="H11" s="9">
        <v>147.16800000000001</v>
      </c>
      <c r="I11" s="9">
        <v>16.556399999999996</v>
      </c>
      <c r="J11" s="9">
        <v>4</v>
      </c>
      <c r="K11" s="9">
        <v>147.16800000000001</v>
      </c>
      <c r="L11" s="9">
        <v>16.556399999999996</v>
      </c>
      <c r="M11" s="9">
        <v>4</v>
      </c>
      <c r="N11" s="9">
        <v>147.16800000000001</v>
      </c>
      <c r="O11" s="9">
        <v>16.556399999999996</v>
      </c>
      <c r="P11" s="9">
        <v>4</v>
      </c>
    </row>
    <row r="12" spans="1:16" x14ac:dyDescent="0.3">
      <c r="A12" s="15" t="s">
        <v>469</v>
      </c>
      <c r="B12" s="9"/>
      <c r="C12" s="9"/>
      <c r="D12" s="9"/>
      <c r="E12" s="9"/>
      <c r="F12" s="9"/>
      <c r="G12" s="9"/>
      <c r="H12" s="9">
        <v>147.16800000000001</v>
      </c>
      <c r="I12" s="9">
        <v>16.556399999999996</v>
      </c>
      <c r="J12" s="9">
        <v>4</v>
      </c>
      <c r="K12" s="9">
        <v>147.16800000000001</v>
      </c>
      <c r="L12" s="9">
        <v>16.556399999999996</v>
      </c>
      <c r="M12" s="9">
        <v>4</v>
      </c>
      <c r="N12" s="9">
        <v>147.16800000000001</v>
      </c>
      <c r="O12" s="9">
        <v>16.556399999999996</v>
      </c>
      <c r="P12" s="9">
        <v>4</v>
      </c>
    </row>
    <row r="13" spans="1:16" x14ac:dyDescent="0.3">
      <c r="A13" s="8" t="s">
        <v>228</v>
      </c>
      <c r="B13" s="9">
        <v>63.44</v>
      </c>
      <c r="C13" s="9">
        <v>27.977599999999999</v>
      </c>
      <c r="D13" s="9">
        <v>4</v>
      </c>
      <c r="E13" s="9"/>
      <c r="F13" s="9"/>
      <c r="G13" s="9"/>
      <c r="H13" s="9">
        <v>77.88</v>
      </c>
      <c r="I13" s="9">
        <v>22.585199999999993</v>
      </c>
      <c r="J13" s="9">
        <v>6</v>
      </c>
      <c r="K13" s="9">
        <v>141.32</v>
      </c>
      <c r="L13" s="9">
        <v>50.562799999999996</v>
      </c>
      <c r="M13" s="9">
        <v>10</v>
      </c>
      <c r="N13" s="9">
        <v>141.32</v>
      </c>
      <c r="O13" s="9">
        <v>50.562799999999996</v>
      </c>
      <c r="P13" s="9">
        <v>10</v>
      </c>
    </row>
    <row r="14" spans="1:16" x14ac:dyDescent="0.3">
      <c r="A14" s="13" t="s">
        <v>447</v>
      </c>
      <c r="B14" s="9">
        <v>63.44</v>
      </c>
      <c r="C14" s="9">
        <v>27.977599999999999</v>
      </c>
      <c r="D14" s="9">
        <v>4</v>
      </c>
      <c r="E14" s="9"/>
      <c r="F14" s="9"/>
      <c r="G14" s="9"/>
      <c r="H14" s="9">
        <v>77.88</v>
      </c>
      <c r="I14" s="9">
        <v>22.585199999999993</v>
      </c>
      <c r="J14" s="9">
        <v>6</v>
      </c>
      <c r="K14" s="9">
        <v>141.32</v>
      </c>
      <c r="L14" s="9">
        <v>50.562799999999996</v>
      </c>
      <c r="M14" s="9">
        <v>10</v>
      </c>
      <c r="N14" s="9">
        <v>141.32</v>
      </c>
      <c r="O14" s="9">
        <v>50.562799999999996</v>
      </c>
      <c r="P14" s="9">
        <v>10</v>
      </c>
    </row>
    <row r="15" spans="1:16" x14ac:dyDescent="0.3">
      <c r="A15" s="15" t="s">
        <v>470</v>
      </c>
      <c r="B15" s="9">
        <v>63.44</v>
      </c>
      <c r="C15" s="9">
        <v>27.977599999999999</v>
      </c>
      <c r="D15" s="9">
        <v>4</v>
      </c>
      <c r="E15" s="9"/>
      <c r="F15" s="9"/>
      <c r="G15" s="9"/>
      <c r="H15" s="9"/>
      <c r="I15" s="9"/>
      <c r="J15" s="9"/>
      <c r="K15" s="9">
        <v>63.44</v>
      </c>
      <c r="L15" s="9">
        <v>27.977599999999999</v>
      </c>
      <c r="M15" s="9">
        <v>4</v>
      </c>
      <c r="N15" s="9">
        <v>63.44</v>
      </c>
      <c r="O15" s="9">
        <v>27.977599999999999</v>
      </c>
      <c r="P15" s="9">
        <v>4</v>
      </c>
    </row>
    <row r="16" spans="1:16" x14ac:dyDescent="0.3">
      <c r="A16" s="15" t="s">
        <v>469</v>
      </c>
      <c r="B16" s="9"/>
      <c r="C16" s="9"/>
      <c r="D16" s="9"/>
      <c r="E16" s="9"/>
      <c r="F16" s="9"/>
      <c r="G16" s="9"/>
      <c r="H16" s="9">
        <v>77.88</v>
      </c>
      <c r="I16" s="9">
        <v>22.585199999999993</v>
      </c>
      <c r="J16" s="9">
        <v>6</v>
      </c>
      <c r="K16" s="9">
        <v>77.88</v>
      </c>
      <c r="L16" s="9">
        <v>22.585199999999993</v>
      </c>
      <c r="M16" s="9">
        <v>6</v>
      </c>
      <c r="N16" s="9">
        <v>77.88</v>
      </c>
      <c r="O16" s="9">
        <v>22.585199999999993</v>
      </c>
      <c r="P16" s="9">
        <v>6</v>
      </c>
    </row>
    <row r="17" spans="1:16" x14ac:dyDescent="0.3">
      <c r="A17" s="8" t="s">
        <v>137</v>
      </c>
      <c r="B17" s="9"/>
      <c r="C17" s="9"/>
      <c r="D17" s="9"/>
      <c r="E17" s="9"/>
      <c r="F17" s="9"/>
      <c r="G17" s="9"/>
      <c r="H17" s="9">
        <v>79.8</v>
      </c>
      <c r="I17" s="9">
        <v>20.748000000000001</v>
      </c>
      <c r="J17" s="9">
        <v>14</v>
      </c>
      <c r="K17" s="9">
        <v>79.8</v>
      </c>
      <c r="L17" s="9">
        <v>20.748000000000001</v>
      </c>
      <c r="M17" s="9">
        <v>14</v>
      </c>
      <c r="N17" s="9">
        <v>79.8</v>
      </c>
      <c r="O17" s="9">
        <v>20.748000000000001</v>
      </c>
      <c r="P17" s="9">
        <v>14</v>
      </c>
    </row>
    <row r="18" spans="1:16" x14ac:dyDescent="0.3">
      <c r="A18" s="13" t="s">
        <v>447</v>
      </c>
      <c r="B18" s="9"/>
      <c r="C18" s="9"/>
      <c r="D18" s="9"/>
      <c r="E18" s="9"/>
      <c r="F18" s="9"/>
      <c r="G18" s="9"/>
      <c r="H18" s="9">
        <v>79.8</v>
      </c>
      <c r="I18" s="9">
        <v>20.748000000000001</v>
      </c>
      <c r="J18" s="9">
        <v>14</v>
      </c>
      <c r="K18" s="9">
        <v>79.8</v>
      </c>
      <c r="L18" s="9">
        <v>20.748000000000001</v>
      </c>
      <c r="M18" s="9">
        <v>14</v>
      </c>
      <c r="N18" s="9">
        <v>79.8</v>
      </c>
      <c r="O18" s="9">
        <v>20.748000000000001</v>
      </c>
      <c r="P18" s="9">
        <v>14</v>
      </c>
    </row>
    <row r="19" spans="1:16" x14ac:dyDescent="0.3">
      <c r="A19" s="15" t="s">
        <v>467</v>
      </c>
      <c r="B19" s="9"/>
      <c r="C19" s="9"/>
      <c r="D19" s="9"/>
      <c r="E19" s="9"/>
      <c r="F19" s="9"/>
      <c r="G19" s="9"/>
      <c r="H19" s="9">
        <v>79.8</v>
      </c>
      <c r="I19" s="9">
        <v>20.748000000000001</v>
      </c>
      <c r="J19" s="9">
        <v>14</v>
      </c>
      <c r="K19" s="9">
        <v>79.8</v>
      </c>
      <c r="L19" s="9">
        <v>20.748000000000001</v>
      </c>
      <c r="M19" s="9">
        <v>14</v>
      </c>
      <c r="N19" s="9">
        <v>79.8</v>
      </c>
      <c r="O19" s="9">
        <v>20.748000000000001</v>
      </c>
      <c r="P19" s="9">
        <v>14</v>
      </c>
    </row>
    <row r="20" spans="1:16" x14ac:dyDescent="0.3">
      <c r="A20" s="8" t="s">
        <v>103</v>
      </c>
      <c r="B20" s="9">
        <v>1326.6600000000003</v>
      </c>
      <c r="C20" s="9">
        <v>-29.524500000000128</v>
      </c>
      <c r="D20" s="9">
        <v>21</v>
      </c>
      <c r="E20" s="9"/>
      <c r="F20" s="9"/>
      <c r="G20" s="9"/>
      <c r="H20" s="9"/>
      <c r="I20" s="9"/>
      <c r="J20" s="9"/>
      <c r="K20" s="9">
        <v>1326.6600000000003</v>
      </c>
      <c r="L20" s="9">
        <v>-29.524500000000128</v>
      </c>
      <c r="M20" s="9">
        <v>21</v>
      </c>
      <c r="N20" s="9">
        <v>1326.6600000000003</v>
      </c>
      <c r="O20" s="9">
        <v>-29.524500000000128</v>
      </c>
      <c r="P20" s="9">
        <v>21</v>
      </c>
    </row>
    <row r="21" spans="1:16" x14ac:dyDescent="0.3">
      <c r="A21" s="13" t="s">
        <v>447</v>
      </c>
      <c r="B21" s="9">
        <v>1288.4640000000004</v>
      </c>
      <c r="C21" s="9">
        <v>-24.489300000000128</v>
      </c>
      <c r="D21" s="9">
        <v>12</v>
      </c>
      <c r="E21" s="9"/>
      <c r="F21" s="9"/>
      <c r="G21" s="9"/>
      <c r="H21" s="9"/>
      <c r="I21" s="9"/>
      <c r="J21" s="9"/>
      <c r="K21" s="9">
        <v>1288.4640000000004</v>
      </c>
      <c r="L21" s="9">
        <v>-24.489300000000128</v>
      </c>
      <c r="M21" s="9">
        <v>12</v>
      </c>
      <c r="N21" s="9">
        <v>1288.4640000000004</v>
      </c>
      <c r="O21" s="9">
        <v>-24.489300000000128</v>
      </c>
      <c r="P21" s="9">
        <v>12</v>
      </c>
    </row>
    <row r="22" spans="1:16" x14ac:dyDescent="0.3">
      <c r="A22" s="15" t="s">
        <v>467</v>
      </c>
      <c r="B22" s="9">
        <v>1288.4640000000004</v>
      </c>
      <c r="C22" s="9">
        <v>-24.489300000000128</v>
      </c>
      <c r="D22" s="9">
        <v>12</v>
      </c>
      <c r="E22" s="9"/>
      <c r="F22" s="9"/>
      <c r="G22" s="9"/>
      <c r="H22" s="9"/>
      <c r="I22" s="9"/>
      <c r="J22" s="9"/>
      <c r="K22" s="9">
        <v>1288.4640000000004</v>
      </c>
      <c r="L22" s="9">
        <v>-24.489300000000128</v>
      </c>
      <c r="M22" s="9">
        <v>12</v>
      </c>
      <c r="N22" s="9">
        <v>1288.4640000000004</v>
      </c>
      <c r="O22" s="9">
        <v>-24.489300000000128</v>
      </c>
      <c r="P22" s="9">
        <v>12</v>
      </c>
    </row>
    <row r="23" spans="1:16" x14ac:dyDescent="0.3">
      <c r="A23" s="13" t="s">
        <v>448</v>
      </c>
      <c r="B23" s="9">
        <v>38.195999999999998</v>
      </c>
      <c r="C23" s="9">
        <v>-5.0351999999999997</v>
      </c>
      <c r="D23" s="9">
        <v>9</v>
      </c>
      <c r="E23" s="9"/>
      <c r="F23" s="9"/>
      <c r="G23" s="9"/>
      <c r="H23" s="9"/>
      <c r="I23" s="9"/>
      <c r="J23" s="9"/>
      <c r="K23" s="9">
        <v>38.195999999999998</v>
      </c>
      <c r="L23" s="9">
        <v>-5.0351999999999997</v>
      </c>
      <c r="M23" s="9">
        <v>9</v>
      </c>
      <c r="N23" s="9">
        <v>38.195999999999998</v>
      </c>
      <c r="O23" s="9">
        <v>-5.0351999999999997</v>
      </c>
      <c r="P23" s="9">
        <v>9</v>
      </c>
    </row>
    <row r="24" spans="1:16" x14ac:dyDescent="0.3">
      <c r="A24" s="15" t="s">
        <v>467</v>
      </c>
      <c r="B24" s="9">
        <v>38.195999999999998</v>
      </c>
      <c r="C24" s="9">
        <v>-5.0351999999999997</v>
      </c>
      <c r="D24" s="9">
        <v>9</v>
      </c>
      <c r="E24" s="9"/>
      <c r="F24" s="9"/>
      <c r="G24" s="9"/>
      <c r="H24" s="9"/>
      <c r="I24" s="9"/>
      <c r="J24" s="9"/>
      <c r="K24" s="9">
        <v>38.195999999999998</v>
      </c>
      <c r="L24" s="9">
        <v>-5.0351999999999997</v>
      </c>
      <c r="M24" s="9">
        <v>9</v>
      </c>
      <c r="N24" s="9">
        <v>38.195999999999998</v>
      </c>
      <c r="O24" s="9">
        <v>-5.0351999999999997</v>
      </c>
      <c r="P24" s="9">
        <v>9</v>
      </c>
    </row>
    <row r="25" spans="1:16" x14ac:dyDescent="0.3">
      <c r="A25" s="7" t="s">
        <v>147</v>
      </c>
      <c r="B25" s="9"/>
      <c r="C25" s="9"/>
      <c r="D25" s="9"/>
      <c r="E25" s="9"/>
      <c r="F25" s="9"/>
      <c r="G25" s="9"/>
      <c r="H25" s="9">
        <v>1045.21</v>
      </c>
      <c r="I25" s="9">
        <v>304.94209999999998</v>
      </c>
      <c r="J25" s="9">
        <v>12</v>
      </c>
      <c r="K25" s="9">
        <v>1045.21</v>
      </c>
      <c r="L25" s="9">
        <v>304.94209999999998</v>
      </c>
      <c r="M25" s="9">
        <v>12</v>
      </c>
      <c r="N25" s="9">
        <v>1045.21</v>
      </c>
      <c r="O25" s="9">
        <v>304.94209999999998</v>
      </c>
      <c r="P25" s="9">
        <v>12</v>
      </c>
    </row>
    <row r="26" spans="1:16" x14ac:dyDescent="0.3">
      <c r="A26" s="8" t="s">
        <v>266</v>
      </c>
      <c r="B26" s="9"/>
      <c r="C26" s="9"/>
      <c r="D26" s="9"/>
      <c r="E26" s="9"/>
      <c r="F26" s="9"/>
      <c r="G26" s="9"/>
      <c r="H26" s="9">
        <v>1045.21</v>
      </c>
      <c r="I26" s="9">
        <v>304.94209999999998</v>
      </c>
      <c r="J26" s="9">
        <v>12</v>
      </c>
      <c r="K26" s="9">
        <v>1045.21</v>
      </c>
      <c r="L26" s="9">
        <v>304.94209999999998</v>
      </c>
      <c r="M26" s="9">
        <v>12</v>
      </c>
      <c r="N26" s="9">
        <v>1045.21</v>
      </c>
      <c r="O26" s="9">
        <v>304.94209999999998</v>
      </c>
      <c r="P26" s="9">
        <v>12</v>
      </c>
    </row>
    <row r="27" spans="1:16" x14ac:dyDescent="0.3">
      <c r="A27" s="13" t="s">
        <v>447</v>
      </c>
      <c r="B27" s="9"/>
      <c r="C27" s="9"/>
      <c r="D27" s="9"/>
      <c r="E27" s="9"/>
      <c r="F27" s="9"/>
      <c r="G27" s="9"/>
      <c r="H27" s="9">
        <v>1045.21</v>
      </c>
      <c r="I27" s="9">
        <v>304.94209999999998</v>
      </c>
      <c r="J27" s="9">
        <v>12</v>
      </c>
      <c r="K27" s="9">
        <v>1045.21</v>
      </c>
      <c r="L27" s="9">
        <v>304.94209999999998</v>
      </c>
      <c r="M27" s="9">
        <v>12</v>
      </c>
      <c r="N27" s="9">
        <v>1045.21</v>
      </c>
      <c r="O27" s="9">
        <v>304.94209999999998</v>
      </c>
      <c r="P27" s="9">
        <v>12</v>
      </c>
    </row>
    <row r="28" spans="1:16" x14ac:dyDescent="0.3">
      <c r="A28" s="15" t="s">
        <v>467</v>
      </c>
      <c r="B28" s="9"/>
      <c r="C28" s="9"/>
      <c r="D28" s="9"/>
      <c r="E28" s="9"/>
      <c r="F28" s="9"/>
      <c r="G28" s="9"/>
      <c r="H28" s="9">
        <v>1045.21</v>
      </c>
      <c r="I28" s="9">
        <v>304.94209999999998</v>
      </c>
      <c r="J28" s="9">
        <v>12</v>
      </c>
      <c r="K28" s="9">
        <v>1045.21</v>
      </c>
      <c r="L28" s="9">
        <v>304.94209999999998</v>
      </c>
      <c r="M28" s="9">
        <v>12</v>
      </c>
      <c r="N28" s="9">
        <v>1045.21</v>
      </c>
      <c r="O28" s="9">
        <v>304.94209999999998</v>
      </c>
      <c r="P28" s="9">
        <v>12</v>
      </c>
    </row>
    <row r="29" spans="1:16" x14ac:dyDescent="0.3">
      <c r="A29" s="7" t="s">
        <v>29</v>
      </c>
      <c r="B29" s="9">
        <v>224.9</v>
      </c>
      <c r="C29" s="9">
        <v>64.238400000000013</v>
      </c>
      <c r="D29" s="9">
        <v>4</v>
      </c>
      <c r="E29" s="9"/>
      <c r="F29" s="9"/>
      <c r="G29" s="9"/>
      <c r="H29" s="9">
        <v>296.60000000000002</v>
      </c>
      <c r="I29" s="9">
        <v>72.369099999999989</v>
      </c>
      <c r="J29" s="9">
        <v>9</v>
      </c>
      <c r="K29" s="9">
        <v>521.5</v>
      </c>
      <c r="L29" s="9">
        <v>136.60750000000002</v>
      </c>
      <c r="M29" s="9">
        <v>13</v>
      </c>
      <c r="N29" s="9">
        <v>521.5</v>
      </c>
      <c r="O29" s="9">
        <v>136.60750000000002</v>
      </c>
      <c r="P29" s="9">
        <v>13</v>
      </c>
    </row>
    <row r="30" spans="1:16" x14ac:dyDescent="0.3">
      <c r="A30" s="8" t="s">
        <v>357</v>
      </c>
      <c r="B30" s="9">
        <v>224.9</v>
      </c>
      <c r="C30" s="9">
        <v>64.238400000000013</v>
      </c>
      <c r="D30" s="9">
        <v>4</v>
      </c>
      <c r="E30" s="9"/>
      <c r="F30" s="9"/>
      <c r="G30" s="9"/>
      <c r="H30" s="9"/>
      <c r="I30" s="9"/>
      <c r="J30" s="9"/>
      <c r="K30" s="9">
        <v>224.9</v>
      </c>
      <c r="L30" s="9">
        <v>64.238400000000013</v>
      </c>
      <c r="M30" s="9">
        <v>4</v>
      </c>
      <c r="N30" s="9">
        <v>224.9</v>
      </c>
      <c r="O30" s="9">
        <v>64.238400000000013</v>
      </c>
      <c r="P30" s="9">
        <v>4</v>
      </c>
    </row>
    <row r="31" spans="1:16" x14ac:dyDescent="0.3">
      <c r="A31" s="13" t="s">
        <v>447</v>
      </c>
      <c r="B31" s="9">
        <v>224.9</v>
      </c>
      <c r="C31" s="9">
        <v>64.238400000000013</v>
      </c>
      <c r="D31" s="9">
        <v>4</v>
      </c>
      <c r="E31" s="9"/>
      <c r="F31" s="9"/>
      <c r="G31" s="9"/>
      <c r="H31" s="9"/>
      <c r="I31" s="9"/>
      <c r="J31" s="9"/>
      <c r="K31" s="9">
        <v>224.9</v>
      </c>
      <c r="L31" s="9">
        <v>64.238400000000013</v>
      </c>
      <c r="M31" s="9">
        <v>4</v>
      </c>
      <c r="N31" s="9">
        <v>224.9</v>
      </c>
      <c r="O31" s="9">
        <v>64.238400000000013</v>
      </c>
      <c r="P31" s="9">
        <v>4</v>
      </c>
    </row>
    <row r="32" spans="1:16" x14ac:dyDescent="0.3">
      <c r="A32" s="15" t="s">
        <v>468</v>
      </c>
      <c r="B32" s="9">
        <v>224.9</v>
      </c>
      <c r="C32" s="9">
        <v>64.238400000000013</v>
      </c>
      <c r="D32" s="9">
        <v>4</v>
      </c>
      <c r="E32" s="9"/>
      <c r="F32" s="9"/>
      <c r="G32" s="9"/>
      <c r="H32" s="9"/>
      <c r="I32" s="9"/>
      <c r="J32" s="9"/>
      <c r="K32" s="9">
        <v>224.9</v>
      </c>
      <c r="L32" s="9">
        <v>64.238400000000013</v>
      </c>
      <c r="M32" s="9">
        <v>4</v>
      </c>
      <c r="N32" s="9">
        <v>224.9</v>
      </c>
      <c r="O32" s="9">
        <v>64.238400000000013</v>
      </c>
      <c r="P32" s="9">
        <v>4</v>
      </c>
    </row>
    <row r="33" spans="1:16" x14ac:dyDescent="0.3">
      <c r="A33" s="8" t="s">
        <v>53</v>
      </c>
      <c r="B33" s="9"/>
      <c r="C33" s="9"/>
      <c r="D33" s="9"/>
      <c r="E33" s="9"/>
      <c r="F33" s="9"/>
      <c r="G33" s="9"/>
      <c r="H33" s="9">
        <v>95.616</v>
      </c>
      <c r="I33" s="9">
        <v>9.5616000000000092</v>
      </c>
      <c r="J33" s="9">
        <v>2</v>
      </c>
      <c r="K33" s="9">
        <v>95.616</v>
      </c>
      <c r="L33" s="9">
        <v>9.5616000000000092</v>
      </c>
      <c r="M33" s="9">
        <v>2</v>
      </c>
      <c r="N33" s="9">
        <v>95.616</v>
      </c>
      <c r="O33" s="9">
        <v>9.5616000000000092</v>
      </c>
      <c r="P33" s="9">
        <v>2</v>
      </c>
    </row>
    <row r="34" spans="1:16" x14ac:dyDescent="0.3">
      <c r="A34" s="13" t="s">
        <v>448</v>
      </c>
      <c r="B34" s="9"/>
      <c r="C34" s="9"/>
      <c r="D34" s="9"/>
      <c r="E34" s="9"/>
      <c r="F34" s="9"/>
      <c r="G34" s="9"/>
      <c r="H34" s="9">
        <v>95.616</v>
      </c>
      <c r="I34" s="9">
        <v>9.5616000000000092</v>
      </c>
      <c r="J34" s="9">
        <v>2</v>
      </c>
      <c r="K34" s="9">
        <v>95.616</v>
      </c>
      <c r="L34" s="9">
        <v>9.5616000000000092</v>
      </c>
      <c r="M34" s="9">
        <v>2</v>
      </c>
      <c r="N34" s="9">
        <v>95.616</v>
      </c>
      <c r="O34" s="9">
        <v>9.5616000000000092</v>
      </c>
      <c r="P34" s="9">
        <v>2</v>
      </c>
    </row>
    <row r="35" spans="1:16" x14ac:dyDescent="0.3">
      <c r="A35" s="15" t="s">
        <v>469</v>
      </c>
      <c r="B35" s="9"/>
      <c r="C35" s="9"/>
      <c r="D35" s="9"/>
      <c r="E35" s="9"/>
      <c r="F35" s="9"/>
      <c r="G35" s="9"/>
      <c r="H35" s="9">
        <v>95.616</v>
      </c>
      <c r="I35" s="9">
        <v>9.5616000000000092</v>
      </c>
      <c r="J35" s="9">
        <v>2</v>
      </c>
      <c r="K35" s="9">
        <v>95.616</v>
      </c>
      <c r="L35" s="9">
        <v>9.5616000000000092</v>
      </c>
      <c r="M35" s="9">
        <v>2</v>
      </c>
      <c r="N35" s="9">
        <v>95.616</v>
      </c>
      <c r="O35" s="9">
        <v>9.5616000000000092</v>
      </c>
      <c r="P35" s="9">
        <v>2</v>
      </c>
    </row>
    <row r="36" spans="1:16" x14ac:dyDescent="0.3">
      <c r="A36" s="8" t="s">
        <v>87</v>
      </c>
      <c r="B36" s="9"/>
      <c r="C36" s="9"/>
      <c r="D36" s="9"/>
      <c r="E36" s="9"/>
      <c r="F36" s="9"/>
      <c r="G36" s="9"/>
      <c r="H36" s="9">
        <v>200.98400000000004</v>
      </c>
      <c r="I36" s="9">
        <v>62.807499999999976</v>
      </c>
      <c r="J36" s="9">
        <v>7</v>
      </c>
      <c r="K36" s="9">
        <v>200.98400000000004</v>
      </c>
      <c r="L36" s="9">
        <v>62.807499999999976</v>
      </c>
      <c r="M36" s="9">
        <v>7</v>
      </c>
      <c r="N36" s="9">
        <v>200.98400000000004</v>
      </c>
      <c r="O36" s="9">
        <v>62.807499999999976</v>
      </c>
      <c r="P36" s="9">
        <v>7</v>
      </c>
    </row>
    <row r="37" spans="1:16" x14ac:dyDescent="0.3">
      <c r="A37" s="13" t="s">
        <v>446</v>
      </c>
      <c r="B37" s="9"/>
      <c r="C37" s="9"/>
      <c r="D37" s="9"/>
      <c r="E37" s="9"/>
      <c r="F37" s="9"/>
      <c r="G37" s="9"/>
      <c r="H37" s="9">
        <v>200.98400000000004</v>
      </c>
      <c r="I37" s="9">
        <v>62.807499999999976</v>
      </c>
      <c r="J37" s="9">
        <v>7</v>
      </c>
      <c r="K37" s="9">
        <v>200.98400000000004</v>
      </c>
      <c r="L37" s="9">
        <v>62.807499999999976</v>
      </c>
      <c r="M37" s="9">
        <v>7</v>
      </c>
      <c r="N37" s="9">
        <v>200.98400000000004</v>
      </c>
      <c r="O37" s="9">
        <v>62.807499999999976</v>
      </c>
      <c r="P37" s="9">
        <v>7</v>
      </c>
    </row>
    <row r="38" spans="1:16" x14ac:dyDescent="0.3">
      <c r="A38" s="15" t="s">
        <v>469</v>
      </c>
      <c r="B38" s="9"/>
      <c r="C38" s="9"/>
      <c r="D38" s="9"/>
      <c r="E38" s="9"/>
      <c r="F38" s="9"/>
      <c r="G38" s="9"/>
      <c r="H38" s="9">
        <v>200.98400000000004</v>
      </c>
      <c r="I38" s="9">
        <v>62.807499999999976</v>
      </c>
      <c r="J38" s="9">
        <v>7</v>
      </c>
      <c r="K38" s="9">
        <v>200.98400000000004</v>
      </c>
      <c r="L38" s="9">
        <v>62.807499999999976</v>
      </c>
      <c r="M38" s="9">
        <v>7</v>
      </c>
      <c r="N38" s="9">
        <v>200.98400000000004</v>
      </c>
      <c r="O38" s="9">
        <v>62.807499999999976</v>
      </c>
      <c r="P38" s="9">
        <v>7</v>
      </c>
    </row>
    <row r="39" spans="1:16" x14ac:dyDescent="0.3">
      <c r="A39" s="7" t="s">
        <v>43</v>
      </c>
      <c r="B39" s="9"/>
      <c r="C39" s="9"/>
      <c r="D39" s="9"/>
      <c r="E39" s="9">
        <v>14.62</v>
      </c>
      <c r="F39" s="9">
        <v>6.8713999999999995</v>
      </c>
      <c r="G39" s="9">
        <v>2</v>
      </c>
      <c r="H39" s="9">
        <v>1459.0360000000003</v>
      </c>
      <c r="I39" s="9">
        <v>196.20599999999996</v>
      </c>
      <c r="J39" s="9">
        <v>20</v>
      </c>
      <c r="K39" s="9">
        <v>1473.6560000000002</v>
      </c>
      <c r="L39" s="9">
        <v>203.07739999999995</v>
      </c>
      <c r="M39" s="9">
        <v>22</v>
      </c>
      <c r="N39" s="9">
        <v>1473.6560000000002</v>
      </c>
      <c r="O39" s="9">
        <v>203.07739999999995</v>
      </c>
      <c r="P39" s="9">
        <v>22</v>
      </c>
    </row>
    <row r="40" spans="1:16" x14ac:dyDescent="0.3">
      <c r="A40" s="8" t="s">
        <v>309</v>
      </c>
      <c r="B40" s="9"/>
      <c r="C40" s="9"/>
      <c r="D40" s="9"/>
      <c r="E40" s="9"/>
      <c r="F40" s="9"/>
      <c r="G40" s="9"/>
      <c r="H40" s="9">
        <v>1280.9920000000002</v>
      </c>
      <c r="I40" s="9">
        <v>174.29039999999998</v>
      </c>
      <c r="J40" s="9">
        <v>12</v>
      </c>
      <c r="K40" s="9">
        <v>1280.9920000000002</v>
      </c>
      <c r="L40" s="9">
        <v>174.29039999999998</v>
      </c>
      <c r="M40" s="9">
        <v>12</v>
      </c>
      <c r="N40" s="9">
        <v>1280.9920000000002</v>
      </c>
      <c r="O40" s="9">
        <v>174.29039999999998</v>
      </c>
      <c r="P40" s="9">
        <v>12</v>
      </c>
    </row>
    <row r="41" spans="1:16" x14ac:dyDescent="0.3">
      <c r="A41" s="13" t="s">
        <v>445</v>
      </c>
      <c r="B41" s="9"/>
      <c r="C41" s="9"/>
      <c r="D41" s="9"/>
      <c r="E41" s="9"/>
      <c r="F41" s="9"/>
      <c r="G41" s="9"/>
      <c r="H41" s="9">
        <v>1280.9920000000002</v>
      </c>
      <c r="I41" s="9">
        <v>174.29039999999998</v>
      </c>
      <c r="J41" s="9">
        <v>12</v>
      </c>
      <c r="K41" s="9">
        <v>1280.9920000000002</v>
      </c>
      <c r="L41" s="9">
        <v>174.29039999999998</v>
      </c>
      <c r="M41" s="9">
        <v>12</v>
      </c>
      <c r="N41" s="9">
        <v>1280.9920000000002</v>
      </c>
      <c r="O41" s="9">
        <v>174.29039999999998</v>
      </c>
      <c r="P41" s="9">
        <v>12</v>
      </c>
    </row>
    <row r="42" spans="1:16" x14ac:dyDescent="0.3">
      <c r="A42" s="15" t="s">
        <v>467</v>
      </c>
      <c r="B42" s="9"/>
      <c r="C42" s="9"/>
      <c r="D42" s="9"/>
      <c r="E42" s="9"/>
      <c r="F42" s="9"/>
      <c r="G42" s="9"/>
      <c r="H42" s="9">
        <v>1280.9920000000002</v>
      </c>
      <c r="I42" s="9">
        <v>174.29039999999998</v>
      </c>
      <c r="J42" s="9">
        <v>12</v>
      </c>
      <c r="K42" s="9">
        <v>1280.9920000000002</v>
      </c>
      <c r="L42" s="9">
        <v>174.29039999999998</v>
      </c>
      <c r="M42" s="9">
        <v>12</v>
      </c>
      <c r="N42" s="9">
        <v>1280.9920000000002</v>
      </c>
      <c r="O42" s="9">
        <v>174.29039999999998</v>
      </c>
      <c r="P42" s="9">
        <v>12</v>
      </c>
    </row>
    <row r="43" spans="1:16" x14ac:dyDescent="0.3">
      <c r="A43" s="8" t="s">
        <v>42</v>
      </c>
      <c r="B43" s="9"/>
      <c r="C43" s="9"/>
      <c r="D43" s="9"/>
      <c r="E43" s="9">
        <v>14.62</v>
      </c>
      <c r="F43" s="9">
        <v>6.8713999999999995</v>
      </c>
      <c r="G43" s="9">
        <v>2</v>
      </c>
      <c r="H43" s="9">
        <v>178.04400000000001</v>
      </c>
      <c r="I43" s="9">
        <v>21.915599999999987</v>
      </c>
      <c r="J43" s="9">
        <v>8</v>
      </c>
      <c r="K43" s="9">
        <v>192.66400000000002</v>
      </c>
      <c r="L43" s="9">
        <v>28.786999999999985</v>
      </c>
      <c r="M43" s="9">
        <v>10</v>
      </c>
      <c r="N43" s="9">
        <v>192.66400000000002</v>
      </c>
      <c r="O43" s="9">
        <v>28.786999999999985</v>
      </c>
      <c r="P43" s="9">
        <v>10</v>
      </c>
    </row>
    <row r="44" spans="1:16" x14ac:dyDescent="0.3">
      <c r="A44" s="13" t="s">
        <v>447</v>
      </c>
      <c r="B44" s="9"/>
      <c r="C44" s="9"/>
      <c r="D44" s="9"/>
      <c r="E44" s="9">
        <v>14.62</v>
      </c>
      <c r="F44" s="9">
        <v>6.8713999999999995</v>
      </c>
      <c r="G44" s="9">
        <v>2</v>
      </c>
      <c r="H44" s="9">
        <v>178.04400000000001</v>
      </c>
      <c r="I44" s="9">
        <v>21.915599999999987</v>
      </c>
      <c r="J44" s="9">
        <v>8</v>
      </c>
      <c r="K44" s="9">
        <v>192.66400000000002</v>
      </c>
      <c r="L44" s="9">
        <v>28.786999999999985</v>
      </c>
      <c r="M44" s="9">
        <v>10</v>
      </c>
      <c r="N44" s="9">
        <v>192.66400000000002</v>
      </c>
      <c r="O44" s="9">
        <v>28.786999999999985</v>
      </c>
      <c r="P44" s="9">
        <v>10</v>
      </c>
    </row>
    <row r="45" spans="1:16" x14ac:dyDescent="0.3">
      <c r="A45" s="15" t="s">
        <v>468</v>
      </c>
      <c r="B45" s="9"/>
      <c r="C45" s="9"/>
      <c r="D45" s="9"/>
      <c r="E45" s="9">
        <v>14.62</v>
      </c>
      <c r="F45" s="9">
        <v>6.8713999999999995</v>
      </c>
      <c r="G45" s="9">
        <v>2</v>
      </c>
      <c r="H45" s="9"/>
      <c r="I45" s="9"/>
      <c r="J45" s="9"/>
      <c r="K45" s="9">
        <v>14.62</v>
      </c>
      <c r="L45" s="9">
        <v>6.8713999999999995</v>
      </c>
      <c r="M45" s="9">
        <v>2</v>
      </c>
      <c r="N45" s="9">
        <v>14.62</v>
      </c>
      <c r="O45" s="9">
        <v>6.8713999999999995</v>
      </c>
      <c r="P45" s="9">
        <v>2</v>
      </c>
    </row>
    <row r="46" spans="1:16" x14ac:dyDescent="0.3">
      <c r="A46" s="15" t="s">
        <v>469</v>
      </c>
      <c r="B46" s="9"/>
      <c r="C46" s="9"/>
      <c r="D46" s="9"/>
      <c r="E46" s="9"/>
      <c r="F46" s="9"/>
      <c r="G46" s="9"/>
      <c r="H46" s="9">
        <v>178.04400000000001</v>
      </c>
      <c r="I46" s="9">
        <v>21.915599999999987</v>
      </c>
      <c r="J46" s="9">
        <v>8</v>
      </c>
      <c r="K46" s="9">
        <v>178.04400000000001</v>
      </c>
      <c r="L46" s="9">
        <v>21.915599999999987</v>
      </c>
      <c r="M46" s="9">
        <v>8</v>
      </c>
      <c r="N46" s="9">
        <v>178.04400000000001</v>
      </c>
      <c r="O46" s="9">
        <v>21.915599999999987</v>
      </c>
      <c r="P46" s="9">
        <v>8</v>
      </c>
    </row>
    <row r="47" spans="1:16" x14ac:dyDescent="0.3">
      <c r="A47" s="7" t="s">
        <v>444</v>
      </c>
      <c r="B47" s="9">
        <v>1615.0000000000005</v>
      </c>
      <c r="C47" s="9">
        <v>62.691499999999884</v>
      </c>
      <c r="D47" s="9">
        <v>29</v>
      </c>
      <c r="E47" s="9">
        <v>14.62</v>
      </c>
      <c r="F47" s="9">
        <v>6.8713999999999995</v>
      </c>
      <c r="G47" s="9">
        <v>2</v>
      </c>
      <c r="H47" s="9">
        <v>3105.694</v>
      </c>
      <c r="I47" s="9">
        <v>633.40679999999998</v>
      </c>
      <c r="J47" s="9">
        <v>65</v>
      </c>
      <c r="K47" s="9">
        <v>4735.3140000000003</v>
      </c>
      <c r="L47" s="9">
        <v>702.96969999999988</v>
      </c>
      <c r="M47" s="9">
        <v>96</v>
      </c>
      <c r="N47" s="9">
        <v>4735.3140000000003</v>
      </c>
      <c r="O47" s="9">
        <v>702.96969999999988</v>
      </c>
      <c r="P47" s="9">
        <v>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4EFE2-AE37-49ED-83E3-B1A1DA4FEFD0}">
  <dimension ref="A1:P23"/>
  <sheetViews>
    <sheetView showGridLines="0" zoomScale="82" workbookViewId="0">
      <selection activeCell="N5" sqref="N5:P23"/>
    </sheetView>
  </sheetViews>
  <sheetFormatPr defaultRowHeight="14.4" x14ac:dyDescent="0.3"/>
  <cols>
    <col min="1" max="1" width="19.33203125" bestFit="1" customWidth="1"/>
    <col min="2" max="2" width="16" bestFit="1" customWidth="1"/>
    <col min="3" max="3" width="12.109375" bestFit="1" customWidth="1"/>
    <col min="4" max="4" width="14.88671875" bestFit="1" customWidth="1"/>
    <col min="5" max="5" width="11.77734375" bestFit="1" customWidth="1"/>
    <col min="6" max="6" width="12.109375" bestFit="1" customWidth="1"/>
    <col min="7" max="7" width="14.88671875" bestFit="1" customWidth="1"/>
    <col min="8" max="8" width="13.33203125" bestFit="1" customWidth="1"/>
    <col min="9" max="9" width="12.109375" bestFit="1" customWidth="1"/>
    <col min="10" max="10" width="14.88671875" bestFit="1" customWidth="1"/>
    <col min="11" max="11" width="22.88671875" bestFit="1" customWidth="1"/>
    <col min="12" max="12" width="23.33203125" bestFit="1" customWidth="1"/>
    <col min="13" max="13" width="26.109375" bestFit="1" customWidth="1"/>
    <col min="14" max="14" width="16.44140625" hidden="1" customWidth="1"/>
    <col min="15" max="15" width="16.88671875" hidden="1" customWidth="1"/>
    <col min="16" max="16" width="19.6640625" hidden="1" customWidth="1"/>
    <col min="17" max="17" width="11.77734375" bestFit="1" customWidth="1"/>
    <col min="18" max="18" width="12.109375" bestFit="1" customWidth="1"/>
    <col min="19" max="19" width="14.88671875" bestFit="1" customWidth="1"/>
    <col min="20" max="20" width="13.33203125" bestFit="1" customWidth="1"/>
    <col min="21" max="21" width="12.109375" bestFit="1" customWidth="1"/>
    <col min="22" max="22" width="14.88671875" bestFit="1" customWidth="1"/>
    <col min="23" max="23" width="20.77734375" bestFit="1" customWidth="1"/>
    <col min="24" max="24" width="21.33203125" bestFit="1" customWidth="1"/>
    <col min="25" max="25" width="24" bestFit="1" customWidth="1"/>
    <col min="26" max="26" width="13.44140625" bestFit="1" customWidth="1"/>
    <col min="27" max="27" width="12.109375" bestFit="1" customWidth="1"/>
    <col min="28" max="28" width="14.88671875" bestFit="1" customWidth="1"/>
    <col min="29" max="29" width="11.77734375" bestFit="1" customWidth="1"/>
    <col min="30" max="30" width="12.109375" bestFit="1" customWidth="1"/>
    <col min="31" max="31" width="14.88671875" bestFit="1" customWidth="1"/>
    <col min="32" max="32" width="13.33203125" bestFit="1" customWidth="1"/>
    <col min="33" max="33" width="12.109375" bestFit="1" customWidth="1"/>
    <col min="34" max="34" width="14.88671875" bestFit="1" customWidth="1"/>
    <col min="35" max="35" width="22.88671875" bestFit="1" customWidth="1"/>
    <col min="36" max="36" width="23.33203125" bestFit="1" customWidth="1"/>
    <col min="37" max="37" width="26.109375" bestFit="1" customWidth="1"/>
    <col min="38" max="38" width="16.44140625" bestFit="1" customWidth="1"/>
    <col min="39" max="39" width="16.88671875" bestFit="1" customWidth="1"/>
    <col min="40" max="40" width="19.6640625" bestFit="1" customWidth="1"/>
  </cols>
  <sheetData>
    <row r="1" spans="1:16" x14ac:dyDescent="0.3">
      <c r="A1" s="6" t="s">
        <v>2</v>
      </c>
      <c r="B1" t="s">
        <v>466</v>
      </c>
    </row>
    <row r="2" spans="1:16" x14ac:dyDescent="0.3">
      <c r="A2" s="6" t="s">
        <v>6</v>
      </c>
      <c r="B2" t="s">
        <v>466</v>
      </c>
    </row>
    <row r="3" spans="1:16" x14ac:dyDescent="0.3">
      <c r="A3" s="6" t="s">
        <v>3</v>
      </c>
      <c r="B3" t="s">
        <v>466</v>
      </c>
    </row>
    <row r="5" spans="1:16" x14ac:dyDescent="0.3">
      <c r="B5" s="6" t="s">
        <v>452</v>
      </c>
    </row>
    <row r="6" spans="1:16" x14ac:dyDescent="0.3">
      <c r="B6" t="s">
        <v>101</v>
      </c>
      <c r="K6" t="s">
        <v>457</v>
      </c>
      <c r="L6" t="s">
        <v>458</v>
      </c>
      <c r="M6" t="s">
        <v>463</v>
      </c>
      <c r="N6" t="s">
        <v>459</v>
      </c>
      <c r="O6" t="s">
        <v>460</v>
      </c>
      <c r="P6" t="s">
        <v>464</v>
      </c>
    </row>
    <row r="7" spans="1:16" x14ac:dyDescent="0.3">
      <c r="B7" t="s">
        <v>187</v>
      </c>
      <c r="E7" t="s">
        <v>22</v>
      </c>
      <c r="H7" t="s">
        <v>49</v>
      </c>
    </row>
    <row r="8" spans="1:16" x14ac:dyDescent="0.3">
      <c r="A8" s="6" t="s">
        <v>443</v>
      </c>
      <c r="B8" t="s">
        <v>449</v>
      </c>
      <c r="C8" t="s">
        <v>450</v>
      </c>
      <c r="D8" t="s">
        <v>465</v>
      </c>
      <c r="E8" t="s">
        <v>449</v>
      </c>
      <c r="F8" t="s">
        <v>450</v>
      </c>
      <c r="G8" t="s">
        <v>465</v>
      </c>
      <c r="H8" t="s">
        <v>449</v>
      </c>
      <c r="I8" t="s">
        <v>450</v>
      </c>
      <c r="J8" t="s">
        <v>465</v>
      </c>
    </row>
    <row r="9" spans="1:16" x14ac:dyDescent="0.3">
      <c r="A9" s="7" t="s">
        <v>104</v>
      </c>
      <c r="B9" s="9">
        <v>230.376</v>
      </c>
      <c r="C9" s="9">
        <v>-48.954900000000002</v>
      </c>
      <c r="D9" s="9">
        <v>3</v>
      </c>
      <c r="E9" s="9">
        <v>187.84000000000003</v>
      </c>
      <c r="F9" s="9">
        <v>23.803999999999995</v>
      </c>
      <c r="G9" s="9">
        <v>10</v>
      </c>
      <c r="H9" s="9">
        <v>1513.4222</v>
      </c>
      <c r="I9" s="9">
        <v>-127.84850000000009</v>
      </c>
      <c r="J9" s="9">
        <v>32</v>
      </c>
      <c r="K9" s="9">
        <v>1931.6381999999999</v>
      </c>
      <c r="L9" s="9">
        <v>-152.99940000000007</v>
      </c>
      <c r="M9" s="9">
        <v>45</v>
      </c>
      <c r="N9" s="9">
        <v>1931.6381999999999</v>
      </c>
      <c r="O9" s="9">
        <v>-152.99940000000007</v>
      </c>
      <c r="P9" s="9">
        <v>45</v>
      </c>
    </row>
    <row r="10" spans="1:16" x14ac:dyDescent="0.3">
      <c r="A10" s="8" t="s">
        <v>210</v>
      </c>
      <c r="B10" s="9">
        <v>230.376</v>
      </c>
      <c r="C10" s="9">
        <v>-48.954900000000002</v>
      </c>
      <c r="D10" s="9">
        <v>3</v>
      </c>
      <c r="E10" s="9"/>
      <c r="F10" s="9"/>
      <c r="G10" s="9"/>
      <c r="H10" s="9">
        <v>213.11499999999998</v>
      </c>
      <c r="I10" s="9">
        <v>-15.222500000000011</v>
      </c>
      <c r="J10" s="9">
        <v>5</v>
      </c>
      <c r="K10" s="9">
        <v>443.49099999999999</v>
      </c>
      <c r="L10" s="9">
        <v>-64.177400000000006</v>
      </c>
      <c r="M10" s="9">
        <v>8</v>
      </c>
      <c r="N10" s="9">
        <v>443.49099999999999</v>
      </c>
      <c r="O10" s="9">
        <v>-64.177400000000006</v>
      </c>
      <c r="P10" s="9">
        <v>8</v>
      </c>
    </row>
    <row r="11" spans="1:16" x14ac:dyDescent="0.3">
      <c r="A11" s="13" t="s">
        <v>31</v>
      </c>
      <c r="B11" s="9"/>
      <c r="C11" s="9"/>
      <c r="D11" s="9"/>
      <c r="E11" s="9"/>
      <c r="F11" s="9"/>
      <c r="G11" s="9"/>
      <c r="H11" s="9">
        <v>213.11499999999998</v>
      </c>
      <c r="I11" s="9">
        <v>-15.222500000000011</v>
      </c>
      <c r="J11" s="9">
        <v>5</v>
      </c>
      <c r="K11" s="9">
        <v>213.11499999999998</v>
      </c>
      <c r="L11" s="9">
        <v>-15.222500000000011</v>
      </c>
      <c r="M11" s="9">
        <v>5</v>
      </c>
      <c r="N11" s="9">
        <v>213.11499999999998</v>
      </c>
      <c r="O11" s="9">
        <v>-15.222500000000011</v>
      </c>
      <c r="P11" s="9">
        <v>5</v>
      </c>
    </row>
    <row r="12" spans="1:16" x14ac:dyDescent="0.3">
      <c r="A12" s="13" t="s">
        <v>45</v>
      </c>
      <c r="B12" s="9">
        <v>230.376</v>
      </c>
      <c r="C12" s="9">
        <v>-48.954900000000002</v>
      </c>
      <c r="D12" s="9">
        <v>3</v>
      </c>
      <c r="E12" s="9"/>
      <c r="F12" s="9"/>
      <c r="G12" s="9"/>
      <c r="H12" s="9"/>
      <c r="I12" s="9"/>
      <c r="J12" s="9"/>
      <c r="K12" s="9">
        <v>230.376</v>
      </c>
      <c r="L12" s="9">
        <v>-48.954900000000002</v>
      </c>
      <c r="M12" s="9">
        <v>3</v>
      </c>
      <c r="N12" s="9">
        <v>230.376</v>
      </c>
      <c r="O12" s="9">
        <v>-48.954900000000002</v>
      </c>
      <c r="P12" s="9">
        <v>3</v>
      </c>
    </row>
    <row r="13" spans="1:16" x14ac:dyDescent="0.3">
      <c r="A13" s="8" t="s">
        <v>103</v>
      </c>
      <c r="B13" s="9"/>
      <c r="C13" s="9"/>
      <c r="D13" s="9"/>
      <c r="E13" s="9">
        <v>187.84000000000003</v>
      </c>
      <c r="F13" s="9">
        <v>23.803999999999995</v>
      </c>
      <c r="G13" s="9">
        <v>10</v>
      </c>
      <c r="H13" s="9">
        <v>1300.3072</v>
      </c>
      <c r="I13" s="9">
        <v>-112.62600000000006</v>
      </c>
      <c r="J13" s="9">
        <v>27</v>
      </c>
      <c r="K13" s="9">
        <v>1488.1471999999999</v>
      </c>
      <c r="L13" s="9">
        <v>-88.82200000000006</v>
      </c>
      <c r="M13" s="9">
        <v>37</v>
      </c>
      <c r="N13" s="9">
        <v>1488.1471999999999</v>
      </c>
      <c r="O13" s="9">
        <v>-88.82200000000006</v>
      </c>
      <c r="P13" s="9">
        <v>37</v>
      </c>
    </row>
    <row r="14" spans="1:16" x14ac:dyDescent="0.3">
      <c r="A14" s="13" t="s">
        <v>31</v>
      </c>
      <c r="B14" s="9"/>
      <c r="C14" s="9"/>
      <c r="D14" s="9"/>
      <c r="E14" s="9"/>
      <c r="F14" s="9"/>
      <c r="G14" s="9"/>
      <c r="H14" s="9">
        <v>744.45719999999994</v>
      </c>
      <c r="I14" s="9">
        <v>-62.123400000000004</v>
      </c>
      <c r="J14" s="9">
        <v>6</v>
      </c>
      <c r="K14" s="9">
        <v>744.45719999999994</v>
      </c>
      <c r="L14" s="9">
        <v>-62.123400000000004</v>
      </c>
      <c r="M14" s="9">
        <v>6</v>
      </c>
      <c r="N14" s="9">
        <v>744.45719999999994</v>
      </c>
      <c r="O14" s="9">
        <v>-62.123400000000004</v>
      </c>
      <c r="P14" s="9">
        <v>6</v>
      </c>
    </row>
    <row r="15" spans="1:16" x14ac:dyDescent="0.3">
      <c r="A15" s="13" t="s">
        <v>45</v>
      </c>
      <c r="B15" s="9"/>
      <c r="C15" s="9"/>
      <c r="D15" s="9"/>
      <c r="E15" s="9">
        <v>187.84000000000003</v>
      </c>
      <c r="F15" s="9">
        <v>23.803999999999995</v>
      </c>
      <c r="G15" s="9">
        <v>10</v>
      </c>
      <c r="H15" s="9">
        <v>184.68199999999999</v>
      </c>
      <c r="I15" s="9">
        <v>-92.259000000000015</v>
      </c>
      <c r="J15" s="9">
        <v>17</v>
      </c>
      <c r="K15" s="9">
        <v>372.52200000000005</v>
      </c>
      <c r="L15" s="9">
        <v>-68.455000000000013</v>
      </c>
      <c r="M15" s="9">
        <v>27</v>
      </c>
      <c r="N15" s="9">
        <v>372.52200000000005</v>
      </c>
      <c r="O15" s="9">
        <v>-68.455000000000013</v>
      </c>
      <c r="P15" s="9">
        <v>27</v>
      </c>
    </row>
    <row r="16" spans="1:16" x14ac:dyDescent="0.3">
      <c r="A16" s="13" t="s">
        <v>70</v>
      </c>
      <c r="B16" s="9"/>
      <c r="C16" s="9"/>
      <c r="D16" s="9"/>
      <c r="E16" s="9"/>
      <c r="F16" s="9"/>
      <c r="G16" s="9"/>
      <c r="H16" s="9">
        <v>371.16800000000001</v>
      </c>
      <c r="I16" s="9">
        <v>41.756399999999957</v>
      </c>
      <c r="J16" s="9">
        <v>4</v>
      </c>
      <c r="K16" s="9">
        <v>371.16800000000001</v>
      </c>
      <c r="L16" s="9">
        <v>41.756399999999957</v>
      </c>
      <c r="M16" s="9">
        <v>4</v>
      </c>
      <c r="N16" s="9">
        <v>371.16800000000001</v>
      </c>
      <c r="O16" s="9">
        <v>41.756399999999957</v>
      </c>
      <c r="P16" s="9">
        <v>4</v>
      </c>
    </row>
    <row r="17" spans="1:16" x14ac:dyDescent="0.3">
      <c r="A17" s="7" t="s">
        <v>147</v>
      </c>
      <c r="B17" s="9"/>
      <c r="C17" s="9"/>
      <c r="D17" s="9"/>
      <c r="E17" s="9">
        <v>96.53</v>
      </c>
      <c r="F17" s="9">
        <v>40.5426</v>
      </c>
      <c r="G17" s="9">
        <v>7</v>
      </c>
      <c r="H17" s="9"/>
      <c r="I17" s="9"/>
      <c r="J17" s="9"/>
      <c r="K17" s="9">
        <v>96.53</v>
      </c>
      <c r="L17" s="9">
        <v>40.5426</v>
      </c>
      <c r="M17" s="9">
        <v>7</v>
      </c>
      <c r="N17" s="9">
        <v>96.53</v>
      </c>
      <c r="O17" s="9">
        <v>40.5426</v>
      </c>
      <c r="P17" s="9">
        <v>7</v>
      </c>
    </row>
    <row r="18" spans="1:16" x14ac:dyDescent="0.3">
      <c r="A18" s="8" t="s">
        <v>266</v>
      </c>
      <c r="B18" s="9"/>
      <c r="C18" s="9"/>
      <c r="D18" s="9"/>
      <c r="E18" s="9">
        <v>96.53</v>
      </c>
      <c r="F18" s="9">
        <v>40.5426</v>
      </c>
      <c r="G18" s="9">
        <v>7</v>
      </c>
      <c r="H18" s="9"/>
      <c r="I18" s="9"/>
      <c r="J18" s="9"/>
      <c r="K18" s="9">
        <v>96.53</v>
      </c>
      <c r="L18" s="9">
        <v>40.5426</v>
      </c>
      <c r="M18" s="9">
        <v>7</v>
      </c>
      <c r="N18" s="9">
        <v>96.53</v>
      </c>
      <c r="O18" s="9">
        <v>40.5426</v>
      </c>
      <c r="P18" s="9">
        <v>7</v>
      </c>
    </row>
    <row r="19" spans="1:16" x14ac:dyDescent="0.3">
      <c r="A19" s="13" t="s">
        <v>31</v>
      </c>
      <c r="B19" s="9"/>
      <c r="C19" s="9"/>
      <c r="D19" s="9"/>
      <c r="E19" s="9">
        <v>96.53</v>
      </c>
      <c r="F19" s="9">
        <v>40.5426</v>
      </c>
      <c r="G19" s="9">
        <v>7</v>
      </c>
      <c r="H19" s="9"/>
      <c r="I19" s="9"/>
      <c r="J19" s="9"/>
      <c r="K19" s="9">
        <v>96.53</v>
      </c>
      <c r="L19" s="9">
        <v>40.5426</v>
      </c>
      <c r="M19" s="9">
        <v>7</v>
      </c>
      <c r="N19" s="9">
        <v>96.53</v>
      </c>
      <c r="O19" s="9">
        <v>40.5426</v>
      </c>
      <c r="P19" s="9">
        <v>7</v>
      </c>
    </row>
    <row r="20" spans="1:16" x14ac:dyDescent="0.3">
      <c r="A20" s="7" t="s">
        <v>43</v>
      </c>
      <c r="B20" s="9"/>
      <c r="C20" s="9"/>
      <c r="D20" s="9"/>
      <c r="E20" s="9"/>
      <c r="F20" s="9"/>
      <c r="G20" s="9"/>
      <c r="H20" s="9">
        <v>5.6820000000000013</v>
      </c>
      <c r="I20" s="9">
        <v>-3.7880000000000003</v>
      </c>
      <c r="J20" s="9">
        <v>1</v>
      </c>
      <c r="K20" s="9">
        <v>5.6820000000000013</v>
      </c>
      <c r="L20" s="9">
        <v>-3.7880000000000003</v>
      </c>
      <c r="M20" s="9">
        <v>1</v>
      </c>
      <c r="N20" s="9">
        <v>5.6820000000000013</v>
      </c>
      <c r="O20" s="9">
        <v>-3.7880000000000003</v>
      </c>
      <c r="P20" s="9">
        <v>1</v>
      </c>
    </row>
    <row r="21" spans="1:16" x14ac:dyDescent="0.3">
      <c r="A21" s="8" t="s">
        <v>419</v>
      </c>
      <c r="B21" s="9"/>
      <c r="C21" s="9"/>
      <c r="D21" s="9"/>
      <c r="E21" s="9"/>
      <c r="F21" s="9"/>
      <c r="G21" s="9"/>
      <c r="H21" s="9">
        <v>5.6820000000000013</v>
      </c>
      <c r="I21" s="9">
        <v>-3.7880000000000003</v>
      </c>
      <c r="J21" s="9">
        <v>1</v>
      </c>
      <c r="K21" s="9">
        <v>5.6820000000000013</v>
      </c>
      <c r="L21" s="9">
        <v>-3.7880000000000003</v>
      </c>
      <c r="M21" s="9">
        <v>1</v>
      </c>
      <c r="N21" s="9">
        <v>5.6820000000000013</v>
      </c>
      <c r="O21" s="9">
        <v>-3.7880000000000003</v>
      </c>
      <c r="P21" s="9">
        <v>1</v>
      </c>
    </row>
    <row r="22" spans="1:16" x14ac:dyDescent="0.3">
      <c r="A22" s="13" t="s">
        <v>45</v>
      </c>
      <c r="B22" s="9"/>
      <c r="C22" s="9"/>
      <c r="D22" s="9"/>
      <c r="E22" s="9"/>
      <c r="F22" s="9"/>
      <c r="G22" s="9"/>
      <c r="H22" s="9">
        <v>5.6820000000000013</v>
      </c>
      <c r="I22" s="9">
        <v>-3.7880000000000003</v>
      </c>
      <c r="J22" s="9">
        <v>1</v>
      </c>
      <c r="K22" s="9">
        <v>5.6820000000000013</v>
      </c>
      <c r="L22" s="9">
        <v>-3.7880000000000003</v>
      </c>
      <c r="M22" s="9">
        <v>1</v>
      </c>
      <c r="N22" s="9">
        <v>5.6820000000000013</v>
      </c>
      <c r="O22" s="9">
        <v>-3.7880000000000003</v>
      </c>
      <c r="P22" s="9">
        <v>1</v>
      </c>
    </row>
    <row r="23" spans="1:16" x14ac:dyDescent="0.3">
      <c r="A23" s="7" t="s">
        <v>444</v>
      </c>
      <c r="B23" s="9">
        <v>230.376</v>
      </c>
      <c r="C23" s="9">
        <v>-48.954900000000002</v>
      </c>
      <c r="D23" s="9">
        <v>3</v>
      </c>
      <c r="E23" s="9">
        <v>284.37</v>
      </c>
      <c r="F23" s="9">
        <v>64.346599999999995</v>
      </c>
      <c r="G23" s="9">
        <v>17</v>
      </c>
      <c r="H23" s="9">
        <v>1519.1042</v>
      </c>
      <c r="I23" s="9">
        <v>-131.6365000000001</v>
      </c>
      <c r="J23" s="9">
        <v>33</v>
      </c>
      <c r="K23" s="9">
        <v>2033.8501999999999</v>
      </c>
      <c r="L23" s="9">
        <v>-116.24480000000007</v>
      </c>
      <c r="M23" s="9">
        <v>53</v>
      </c>
      <c r="N23" s="9">
        <v>2033.8501999999999</v>
      </c>
      <c r="O23" s="9">
        <v>-116.24480000000007</v>
      </c>
      <c r="P23" s="9">
        <v>53</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working 1</vt:lpstr>
      <vt:lpstr>working 2</vt:lpstr>
      <vt:lpstr>working 3</vt:lpstr>
      <vt:lpstr>working 4</vt:lpstr>
      <vt:lpstr>data of sales</vt:lpstr>
      <vt:lpstr>dashboard</vt:lpstr>
      <vt:lpstr>Sales trend graph</vt:lpstr>
      <vt:lpstr>tpo 5 Bar chart</vt:lpstr>
      <vt:lpstr>column chart</vt:lpstr>
      <vt:lpstr>clustered bar chart</vt:lpstr>
      <vt:lpstr>pie chart</vt:lpstr>
      <vt:lpstr>Sheet1</vt:lpstr>
      <vt:lpstr>Consumer</vt:lpstr>
      <vt:lpstr>Corporate</vt:lpstr>
      <vt:lpstr>Home 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oxford</dc:creator>
  <cp:lastModifiedBy>Bhanu Singh</cp:lastModifiedBy>
  <cp:lastPrinted>2026-01-06T08:51:58Z</cp:lastPrinted>
  <dcterms:created xsi:type="dcterms:W3CDTF">2024-03-21T08:26:08Z</dcterms:created>
  <dcterms:modified xsi:type="dcterms:W3CDTF">2026-05-25T14:46:46Z</dcterms:modified>
</cp:coreProperties>
</file>